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erfumes" sheetId="2" state="visible" r:id="rId2"/>
    <sheet name="notes" sheetId="3" state="visible" r:id="rId3"/>
    <sheet name="options" sheetId="4" state="visible" r:id="rId4"/>
  </sheets>
  <definedNames>
    <definedName name="_xlnm._FilterDatabase" localSheetId="1" hidden="1">'perfumes'!$A$1:$AD$100</definedName>
    <definedName name="_xlnm._FilterDatabase" localSheetId="2" hidden="1">'notes'!$A$1:$E$124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31F3A"/>
      </patternFill>
    </fill>
    <fill>
      <patternFill patternType="solid">
        <fgColor rgb="00F0EDF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E3DFE6"/>
      </left>
      <right style="thin">
        <color rgb="00E3DFE6"/>
      </right>
      <top style="thin">
        <color rgb="00E3DFE6"/>
      </top>
      <bottom style="thin">
        <color rgb="00E3DF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4" fillId="0" borderId="0" pivotButton="0" quotePrefix="0" xfId="0"/>
    <xf numFmtId="3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시향노트 향수 데이터 시트 (AI 초안)</t>
        </is>
      </c>
    </row>
    <row r="2">
      <c r="A2" s="2" t="inlineStr"/>
    </row>
    <row r="3">
      <c r="A3" s="1" t="inlineStr">
        <is>
          <t>■ 이 파일의 상태</t>
        </is>
      </c>
    </row>
    <row r="4">
      <c r="A4" s="2" t="inlineStr">
        <is>
          <t>- 향수 50개의 브랜드·이름·노트·분류·한국어 문구를 AI가 초안으로 채웠습니다. 노트와 농도는 AI의 기억에 의존한 값이라 틀릴 수 있습니다.</t>
        </is>
      </c>
    </row>
    <row r="5">
      <c r="A5" s="2" t="inlineStr">
        <is>
          <t>- 모든 행의 data_status는 'AI 초안 (공식 확인 전)'입니다. 공식 출처에서 확인한 뒤 '확인 완료'로 바꾸세요. 확인 전 값은 perfumes.json으로 옮기지 않습니다 (CLAUDE.md 규칙 1번).</t>
        </is>
      </c>
    </row>
    <row r="6">
      <c r="A6" s="2" t="inlineStr"/>
    </row>
    <row r="7">
      <c r="A7" s="1" t="inlineStr">
        <is>
          <t>■ 색 구분</t>
        </is>
      </c>
    </row>
    <row r="8">
      <c r="A8" s="2" t="inlineStr">
        <is>
          <t>- 회색 칸: AI 초안 (확인하고 틀리면 고치세요)</t>
        </is>
      </c>
    </row>
    <row r="9">
      <c r="A9" s="2" t="inlineStr">
        <is>
          <t>- 노란 칸: 사람이 직접 채울 칸 (노트 출처 URL, 국내 정가, 확인일, 가격 출처, 이미지, 시향 가능 채널)</t>
        </is>
      </c>
    </row>
    <row r="10">
      <c r="A10" s="2" t="inlineStr"/>
    </row>
    <row r="11">
      <c r="A11" s="1" t="inlineStr">
        <is>
          <t>■ 해야 할 일 (향수마다)</t>
        </is>
      </c>
    </row>
    <row r="12">
      <c r="A12" s="2" t="inlineStr">
        <is>
          <t>1. notes_source_url에 공식 상품 페이지를 적고 top/middle/base 노트를 대조해 틀린 부분을 고친다</t>
        </is>
      </c>
    </row>
    <row r="13">
      <c r="A13" s="2" t="inlineStr">
        <is>
          <t>2. concentration(EDT/EDP 등)이 맞는지 확인한다. 모르면 비운다</t>
        </is>
      </c>
    </row>
    <row r="14">
      <c r="A14" s="2" t="inlineStr">
        <is>
          <t>3. kr_ml / kr_krw / kr_checked_at / kr_source_url에 국내 공식몰 정가를 적는다. 없으면 비워 둔다 (화면에 [확인 필요]로 표시됨)</t>
        </is>
      </c>
    </row>
    <row r="15">
      <c r="A15" s="2" t="inlineStr">
        <is>
          <t>4. 이미지를 public/perfumes/에 저장하고 image_file, image_source_url을 적는다</t>
        </is>
      </c>
    </row>
    <row r="16">
      <c r="A16" s="2" t="inlineStr">
        <is>
          <t>5. channels에 시향 가능한 곳(백화점·브랜드 매장·올리브영 등)을 적는다</t>
        </is>
      </c>
    </row>
    <row r="17">
      <c r="A17" s="2" t="inlineStr">
        <is>
          <t>6. 확인이 끝나면 data_status를 '확인 완료'로 바꾸고 todo를 비운다</t>
        </is>
      </c>
    </row>
    <row r="18">
      <c r="A18" s="2" t="inlineStr"/>
    </row>
    <row r="19">
      <c r="A19" s="1" t="inlineStr">
        <is>
          <t>■ 시트 설명</t>
        </is>
      </c>
    </row>
    <row r="20">
      <c r="A20" s="2" t="inlineStr">
        <is>
          <t>- perfumes: 향수 1개 = 1행. family / intensity / polarizing은 드롭다운으로 고른다</t>
        </is>
      </c>
    </row>
    <row r="21">
      <c r="A21" s="2" t="inlineStr">
        <is>
          <t>- notes: 노트 사전. 성분 1개 = 1행 (ingredient_en은 perfumes의 노트 표기와 똑같아야 함). used_in은 시트1에서 몇 번 쓰였는지 자동 계산 (이름이 겹치면 실제보다 크게 나올 수 있음)</t>
        </is>
      </c>
    </row>
    <row r="22">
      <c r="A22" s="2" t="inlineStr">
        <is>
          <t>- options: 선택 값 목록. 계열별 등록 수와 분위기 칩 사용 수는 자동 계산이라, 비는 계열·칩이 있는지 점검할 때 보세요</t>
        </is>
      </c>
    </row>
    <row r="23">
      <c r="A23" s="2" t="inlineStr"/>
    </row>
    <row r="24">
      <c r="A24" s="1" t="inlineStr">
        <is>
          <t>■ 분류·문구 안내</t>
        </is>
      </c>
    </row>
    <row r="25">
      <c r="A25" s="2" t="inlineStr">
        <is>
          <t>- family, sub_families, moods, avoid_flags, intensity, polarizing은 AI의 판단입니다. 정답이 없으니 실제로 맡아본 느낌이나 취향에 맞게 바꿔도 됩니다</t>
        </is>
      </c>
    </row>
    <row r="26">
      <c r="A26" s="2" t="inlineStr">
        <is>
          <t>- summary, drydown, check_point, feel은 새로 쓴 문장입니다. 외부 리뷰를 복사한 것이 아닙니다</t>
        </is>
      </c>
    </row>
    <row r="27">
      <c r="A27" s="2" t="inlineStr">
        <is>
          <t>- 국내 정가·이미지·시향 채널은 일부러 비워 두었습니다 (지어내지 않기 위해)</t>
        </is>
      </c>
    </row>
    <row r="29">
      <c r="A29" s="1" t="inlineStr">
        <is>
          <t>■ 추가 작업 기록</t>
        </is>
      </c>
    </row>
    <row r="30">
      <c r="A30" s="2" t="inlineStr">
        <is>
          <t>- 니치 브랜드 향수 49개를 이어서 추가했습니다 (총 99개). 같은 방식의 AI 초안이며 공식 확인 전입니다.</t>
        </is>
      </c>
    </row>
    <row r="31">
      <c r="A31" s="2" t="inlineStr">
        <is>
          <t>- 몰큘 01·02, 낫 어 퍼퓸은 단일 성분 향수라 노트가 탑 한 칸뿐입니다.</t>
        </is>
      </c>
    </row>
    <row r="33">
      <c r="A33" s="1" t="inlineStr">
        <is>
          <t>■ 분위기 칩 추가 (D-26)</t>
        </is>
      </c>
    </row>
    <row r="34">
      <c r="A34" s="2" t="inlineStr">
        <is>
          <t>- 새 분위기 칩 '사랑스러운(lovely)', '매혹적인(sensual)'을 추가하고, 어울리는 향수 40개의 moods에 붙였습니다 (AI 판단이므로 맡아본 느낌에 맞게 고쳐도 됩니다).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6" customWidth="1" min="4" max="4"/>
    <col width="24" customWidth="1" min="5" max="5"/>
    <col width="12" customWidth="1" min="6" max="6"/>
    <col width="30" customWidth="1" min="7" max="7"/>
    <col width="30" customWidth="1" min="8" max="8"/>
    <col width="30" customWidth="1" min="9" max="9"/>
    <col width="28" customWidth="1" min="10" max="10"/>
    <col width="13" customWidth="1" min="11" max="11"/>
    <col width="18" customWidth="1" min="12" max="12"/>
    <col width="20" customWidth="1" min="13" max="13"/>
    <col width="16" customWidth="1" min="14" max="14"/>
    <col width="11" customWidth="1" min="15" max="15"/>
    <col width="11" customWidth="1" min="16" max="16"/>
    <col width="18" customWidth="1" min="17" max="17"/>
    <col width="36" customWidth="1" min="18" max="18"/>
    <col width="36" customWidth="1" min="19" max="19"/>
    <col width="40" customWidth="1" min="20" max="20"/>
    <col width="8" customWidth="1" min="21" max="21"/>
    <col width="12" customWidth="1" min="22" max="22"/>
    <col width="14" customWidth="1" min="23" max="23"/>
    <col width="28" customWidth="1" min="24" max="24"/>
    <col width="26" customWidth="1" min="25" max="25"/>
    <col width="16" customWidth="1" min="26" max="26"/>
    <col width="24" customWidth="1" min="27" max="27"/>
    <col width="28" customWidth="1" min="28" max="28"/>
    <col width="24" customWidth="1" min="29" max="29"/>
    <col width="36" customWidth="1" min="30" max="30"/>
  </cols>
  <sheetData>
    <row r="1" ht="26" customHeight="1">
      <c r="A1" s="3" t="inlineStr">
        <is>
          <t>id</t>
        </is>
      </c>
      <c r="B1" s="3" t="inlineStr">
        <is>
          <t>brand</t>
        </is>
      </c>
      <c r="C1" s="3" t="inlineStr">
        <is>
          <t>brand_ko</t>
        </is>
      </c>
      <c r="D1" s="3" t="inlineStr">
        <is>
          <t>name</t>
        </is>
      </c>
      <c r="E1" s="3" t="inlineStr">
        <is>
          <t>name_ko</t>
        </is>
      </c>
      <c r="F1" s="3" t="inlineStr">
        <is>
          <t>concentration</t>
        </is>
      </c>
      <c r="G1" s="3" t="inlineStr">
        <is>
          <t>top_notes</t>
        </is>
      </c>
      <c r="H1" s="3" t="inlineStr">
        <is>
          <t>middle_notes</t>
        </is>
      </c>
      <c r="I1" s="3" t="inlineStr">
        <is>
          <t>base_notes</t>
        </is>
      </c>
      <c r="J1" s="3" t="inlineStr">
        <is>
          <t>notes_source_url</t>
        </is>
      </c>
      <c r="K1" s="3" t="inlineStr">
        <is>
          <t>family</t>
        </is>
      </c>
      <c r="L1" s="3" t="inlineStr">
        <is>
          <t>sub_families</t>
        </is>
      </c>
      <c r="M1" s="3" t="inlineStr">
        <is>
          <t>moods</t>
        </is>
      </c>
      <c r="N1" s="3" t="inlineStr">
        <is>
          <t>avoid_flags</t>
        </is>
      </c>
      <c r="O1" s="3" t="inlineStr">
        <is>
          <t>intensity</t>
        </is>
      </c>
      <c r="P1" s="3" t="inlineStr">
        <is>
          <t>polarizing</t>
        </is>
      </c>
      <c r="Q1" s="3" t="inlineStr">
        <is>
          <t>season_occasion</t>
        </is>
      </c>
      <c r="R1" s="3" t="inlineStr">
        <is>
          <t>summary</t>
        </is>
      </c>
      <c r="S1" s="3" t="inlineStr">
        <is>
          <t>drydown</t>
        </is>
      </c>
      <c r="T1" s="3" t="inlineStr">
        <is>
          <t>check_point</t>
        </is>
      </c>
      <c r="U1" s="3" t="inlineStr">
        <is>
          <t>kr_ml</t>
        </is>
      </c>
      <c r="V1" s="3" t="inlineStr">
        <is>
          <t>kr_krw</t>
        </is>
      </c>
      <c r="W1" s="3" t="inlineStr">
        <is>
          <t>kr_checked_at</t>
        </is>
      </c>
      <c r="X1" s="3" t="inlineStr">
        <is>
          <t>kr_source_url</t>
        </is>
      </c>
      <c r="Y1" s="3" t="inlineStr">
        <is>
          <t>store_query</t>
        </is>
      </c>
      <c r="Z1" s="3" t="inlineStr">
        <is>
          <t>channels</t>
        </is>
      </c>
      <c r="AA1" s="3" t="inlineStr">
        <is>
          <t>image_file</t>
        </is>
      </c>
      <c r="AB1" s="3" t="inlineStr">
        <is>
          <t>image_source_url</t>
        </is>
      </c>
      <c r="AC1" s="3" t="inlineStr">
        <is>
          <t>data_status</t>
        </is>
      </c>
      <c r="AD1" s="3" t="inlineStr">
        <is>
          <t>todo</t>
        </is>
      </c>
    </row>
    <row r="2">
      <c r="A2" s="4" t="inlineStr">
        <is>
          <t>acqua-di-parma-colonia</t>
        </is>
      </c>
      <c r="B2" s="4" t="inlineStr">
        <is>
          <t>Acqua di Parma</t>
        </is>
      </c>
      <c r="C2" s="5" t="inlineStr">
        <is>
          <t>아쿠아 디 파르마</t>
        </is>
      </c>
      <c r="D2" s="4" t="inlineStr">
        <is>
          <t>Colonia</t>
        </is>
      </c>
      <c r="E2" s="5" t="inlineStr">
        <is>
          <t>콜로니아</t>
        </is>
      </c>
      <c r="F2" s="5" t="inlineStr">
        <is>
          <t>EDC</t>
        </is>
      </c>
      <c r="G2" s="5" t="inlineStr">
        <is>
          <t>Bergamot, Lemon, Orange</t>
        </is>
      </c>
      <c r="H2" s="5" t="inlineStr">
        <is>
          <t>Lavender, Rosemary, Rose</t>
        </is>
      </c>
      <c r="I2" s="5" t="inlineStr">
        <is>
          <t>Sandalwood, Vetiver, Patchouli</t>
        </is>
      </c>
      <c r="J2" s="6" t="n"/>
      <c r="K2" s="5" t="inlineStr">
        <is>
          <t>citrus</t>
        </is>
      </c>
      <c r="L2" s="5" t="inlineStr">
        <is>
          <t>aromatic</t>
        </is>
      </c>
      <c r="M2" s="5" t="inlineStr">
        <is>
          <t>clean, fresh, calm</t>
        </is>
      </c>
      <c r="N2" s="5" t="inlineStr"/>
      <c r="O2" s="5" t="inlineStr">
        <is>
          <t>light</t>
        </is>
      </c>
      <c r="P2" s="5" t="inlineStr">
        <is>
          <t>low</t>
        </is>
      </c>
      <c r="Q2" s="5" t="inlineStr">
        <is>
          <t>사계절 · 출근</t>
        </is>
      </c>
      <c r="R2" s="5" t="inlineStr">
        <is>
          <t>레몬과 라벤더가 어우러진 깔끔한 클래식 코롱</t>
        </is>
      </c>
      <c r="S2" s="5" t="inlineStr">
        <is>
          <t>몇 시간 뒤엔 부드러운 나무 향만 가볍게 남아요</t>
        </is>
      </c>
      <c r="T2" s="5" t="inlineStr">
        <is>
          <t>처음의 레몬 향이 라벤더와 나무 향으로 바뀌는지 맡아보세요</t>
        </is>
      </c>
      <c r="U2" s="6" t="n"/>
      <c r="V2" s="6" t="n"/>
      <c r="W2" s="6" t="n"/>
      <c r="X2" s="6" t="n"/>
      <c r="Y2" s="4" t="inlineStr">
        <is>
          <t>아쿠아 디 파르마 백화점</t>
        </is>
      </c>
      <c r="Z2" s="6" t="inlineStr">
        <is>
          <t>[확인 필요]</t>
        </is>
      </c>
      <c r="AA2" s="6" t="inlineStr">
        <is>
          <t>acqua-di-parma-colonia.jpeg</t>
        </is>
      </c>
      <c r="AB2" s="6" t="inlineStr">
        <is>
          <t>https://kream.co.kr/products/226125</t>
        </is>
      </c>
      <c r="AC2" s="4" t="inlineStr">
        <is>
          <t>AI 초안 (공식 확인 전)</t>
        </is>
      </c>
      <c r="AD2" s="4" t="inlineStr">
        <is>
          <t>노트·농도 공식 확인 / 국내 정가 / 이미지 / 시향 가능 채널</t>
        </is>
      </c>
    </row>
    <row r="3">
      <c r="A3" s="4" t="inlineStr">
        <is>
          <t>tom-ford-neroli-portofino</t>
        </is>
      </c>
      <c r="B3" s="4" t="inlineStr">
        <is>
          <t>Tom Ford</t>
        </is>
      </c>
      <c r="C3" s="5" t="inlineStr">
        <is>
          <t>톰 포드</t>
        </is>
      </c>
      <c r="D3" s="4" t="inlineStr">
        <is>
          <t>Neroli Portofino</t>
        </is>
      </c>
      <c r="E3" s="5" t="inlineStr">
        <is>
          <t>네롤리 포르토피노</t>
        </is>
      </c>
      <c r="F3" s="5" t="inlineStr">
        <is>
          <t>EDP</t>
        </is>
      </c>
      <c r="G3" s="5" t="inlineStr">
        <is>
          <t>Bergamot, Lemon, Mandarin</t>
        </is>
      </c>
      <c r="H3" s="5" t="inlineStr">
        <is>
          <t>Neroli, Orange Blossom, Lavender</t>
        </is>
      </c>
      <c r="I3" s="5" t="inlineStr">
        <is>
          <t>Amber</t>
        </is>
      </c>
      <c r="J3" s="6" t="n"/>
      <c r="K3" s="5" t="inlineStr">
        <is>
          <t>citrus</t>
        </is>
      </c>
      <c r="L3" s="5" t="inlineStr">
        <is>
          <t>whiteFloral</t>
        </is>
      </c>
      <c r="M3" s="5" t="inlineStr">
        <is>
          <t>clean, zesty, elegant</t>
        </is>
      </c>
      <c r="N3" s="5" t="inlineStr"/>
      <c r="O3" s="5" t="inlineStr">
        <is>
          <t>medium</t>
        </is>
      </c>
      <c r="P3" s="5" t="inlineStr">
        <is>
          <t>low</t>
        </is>
      </c>
      <c r="Q3" s="5" t="inlineStr">
        <is>
          <t>봄·여름 · 휴가</t>
        </is>
      </c>
      <c r="R3" s="5" t="inlineStr">
        <is>
          <t>지중해 햇살 같은 시트러스와 오렌지 꽃 향</t>
        </is>
      </c>
      <c r="S3" s="5" t="inlineStr">
        <is>
          <t>몇 시간 뒤엔 부드러운 앰버가 살결에 은은히 남아요</t>
        </is>
      </c>
      <c r="T3" s="5" t="inlineStr">
        <is>
          <t>시트러스 뒤에 꽃 향이 얼마나 올라오는지 확인해 보세요</t>
        </is>
      </c>
      <c r="U3" s="6" t="n"/>
      <c r="V3" s="6" t="n"/>
      <c r="W3" s="6" t="n"/>
      <c r="X3" s="6" t="n"/>
      <c r="Y3" s="4" t="inlineStr">
        <is>
          <t>톰 포드 뷰티 백화점</t>
        </is>
      </c>
      <c r="Z3" s="6" t="inlineStr">
        <is>
          <t>[확인 필요]</t>
        </is>
      </c>
      <c r="AA3" s="6" t="n"/>
      <c r="AB3" s="6" t="n"/>
      <c r="AC3" s="4" t="inlineStr">
        <is>
          <t>AI 초안 (공식 확인 전)</t>
        </is>
      </c>
      <c r="AD3" s="4" t="inlineStr">
        <is>
          <t>노트·농도 공식 확인 / 국내 정가 / 이미지 / 시향 가능 채널</t>
        </is>
      </c>
    </row>
    <row r="4">
      <c r="A4" s="4" t="inlineStr">
        <is>
          <t>dolce-gabbana-light-blue</t>
        </is>
      </c>
      <c r="B4" s="4" t="inlineStr">
        <is>
          <t>Dolce &amp; Gabbana</t>
        </is>
      </c>
      <c r="C4" s="5" t="inlineStr">
        <is>
          <t>돌체 앤 가바나</t>
        </is>
      </c>
      <c r="D4" s="4" t="inlineStr">
        <is>
          <t>Light Blue</t>
        </is>
      </c>
      <c r="E4" s="5" t="inlineStr">
        <is>
          <t>라이트 블루</t>
        </is>
      </c>
      <c r="F4" s="5" t="inlineStr">
        <is>
          <t>EDT</t>
        </is>
      </c>
      <c r="G4" s="5" t="inlineStr">
        <is>
          <t>Lemon, Apple</t>
        </is>
      </c>
      <c r="H4" s="5" t="inlineStr">
        <is>
          <t>Bamboo, Jasmine, White Rose</t>
        </is>
      </c>
      <c r="I4" s="5" t="inlineStr">
        <is>
          <t>Cedar, Musk, Amber</t>
        </is>
      </c>
      <c r="J4" s="6" t="n"/>
      <c r="K4" s="5" t="inlineStr">
        <is>
          <t>citrus</t>
        </is>
      </c>
      <c r="L4" s="5" t="inlineStr">
        <is>
          <t>fruity, aqua</t>
        </is>
      </c>
      <c r="M4" s="5" t="inlineStr">
        <is>
          <t>zesty, fresh, clean</t>
        </is>
      </c>
      <c r="N4" s="5" t="inlineStr"/>
      <c r="O4" s="5" t="inlineStr">
        <is>
          <t>light</t>
        </is>
      </c>
      <c r="P4" s="5" t="inlineStr">
        <is>
          <t>low</t>
        </is>
      </c>
      <c r="Q4" s="5" t="inlineStr">
        <is>
          <t>여름 · 데일리</t>
        </is>
      </c>
      <c r="R4" s="5" t="inlineStr">
        <is>
          <t>레몬과 사과의 청량한 여름 향</t>
        </is>
      </c>
      <c r="S4" s="5" t="inlineStr">
        <is>
          <t>시간이 지나면 가벼운 머스크와 시더가 남아요</t>
        </is>
      </c>
      <c r="T4" s="5" t="inlineStr">
        <is>
          <t>새콤한 첫 향이 얼마나 빨리 가라앉는지 맡아보세요</t>
        </is>
      </c>
      <c r="U4" s="6" t="n"/>
      <c r="V4" s="6" t="n"/>
      <c r="W4" s="6" t="n"/>
      <c r="X4" s="6" t="n"/>
      <c r="Y4" s="4" t="inlineStr">
        <is>
          <t>돌체앤가바나 백화점</t>
        </is>
      </c>
      <c r="Z4" s="6" t="inlineStr">
        <is>
          <t>[확인 필요]</t>
        </is>
      </c>
      <c r="AA4" s="6" t="n"/>
      <c r="AB4" s="6" t="n"/>
      <c r="AC4" s="4" t="inlineStr">
        <is>
          <t>AI 초안 (공식 확인 전)</t>
        </is>
      </c>
      <c r="AD4" s="4" t="inlineStr">
        <is>
          <t>노트·농도 공식 확인 / 국내 정가 / 이미지 / 시향 가능 채널</t>
        </is>
      </c>
    </row>
    <row r="5">
      <c r="A5" s="4" t="inlineStr">
        <is>
          <t>calvin-klein-ck-one</t>
        </is>
      </c>
      <c r="B5" s="4" t="inlineStr">
        <is>
          <t>Calvin Klein</t>
        </is>
      </c>
      <c r="C5" s="5" t="inlineStr">
        <is>
          <t>캘빈 클라인</t>
        </is>
      </c>
      <c r="D5" s="4" t="inlineStr">
        <is>
          <t>CK One</t>
        </is>
      </c>
      <c r="E5" s="5" t="inlineStr">
        <is>
          <t>씨케이 원</t>
        </is>
      </c>
      <c r="F5" s="5" t="inlineStr">
        <is>
          <t>EDT</t>
        </is>
      </c>
      <c r="G5" s="5" t="inlineStr">
        <is>
          <t>Bergamot, Lemon, Pineapple</t>
        </is>
      </c>
      <c r="H5" s="5" t="inlineStr">
        <is>
          <t>Jasmine, Violet, Rose</t>
        </is>
      </c>
      <c r="I5" s="5" t="inlineStr">
        <is>
          <t>Musk, Amber, Cedar</t>
        </is>
      </c>
      <c r="J5" s="6" t="n"/>
      <c r="K5" s="5" t="inlineStr">
        <is>
          <t>citrus</t>
        </is>
      </c>
      <c r="L5" s="5" t="inlineStr">
        <is>
          <t>musk, green</t>
        </is>
      </c>
      <c r="M5" s="5" t="inlineStr">
        <is>
          <t>clean, fresh, zesty</t>
        </is>
      </c>
      <c r="N5" s="5" t="inlineStr"/>
      <c r="O5" s="5" t="inlineStr">
        <is>
          <t>light</t>
        </is>
      </c>
      <c r="P5" s="5" t="inlineStr">
        <is>
          <t>low</t>
        </is>
      </c>
      <c r="Q5" s="5" t="inlineStr">
        <is>
          <t>사계절 · 데일리</t>
        </is>
      </c>
      <c r="R5" s="5" t="inlineStr">
        <is>
          <t>누구나 편하게 쓰는 깨끗한 시트러스 머스크</t>
        </is>
      </c>
      <c r="S5" s="5" t="inlineStr">
        <is>
          <t>몇 시간 뒤엔 깨끗한 비누 같은 머스크가 남아요</t>
        </is>
      </c>
      <c r="T5" s="5" t="inlineStr">
        <is>
          <t>상큼한 첫 향이 머스크로 넘어가는 과정을 맡아보세요</t>
        </is>
      </c>
      <c r="U5" s="6" t="n"/>
      <c r="V5" s="6" t="n"/>
      <c r="W5" s="6" t="n"/>
      <c r="X5" s="6" t="n"/>
      <c r="Y5" s="4" t="inlineStr">
        <is>
          <t>캘빈클라인 향수 백화점</t>
        </is>
      </c>
      <c r="Z5" s="6" t="inlineStr">
        <is>
          <t>[확인 필요]</t>
        </is>
      </c>
      <c r="AA5" s="6" t="n"/>
      <c r="AB5" s="6" t="n"/>
      <c r="AC5" s="4" t="inlineStr">
        <is>
          <t>AI 초안 (공식 확인 전)</t>
        </is>
      </c>
      <c r="AD5" s="4" t="inlineStr">
        <is>
          <t>노트·농도 공식 확인 / 국내 정가 / 이미지 / 시향 가능 채널</t>
        </is>
      </c>
    </row>
    <row r="6">
      <c r="A6" s="4" t="inlineStr">
        <is>
          <t>jo-malone-english-pear-freesia</t>
        </is>
      </c>
      <c r="B6" s="4" t="inlineStr">
        <is>
          <t>Jo Malone London</t>
        </is>
      </c>
      <c r="C6" s="5" t="inlineStr">
        <is>
          <t>조 말론 런던</t>
        </is>
      </c>
      <c r="D6" s="4" t="inlineStr">
        <is>
          <t>English Pear &amp; Freesia</t>
        </is>
      </c>
      <c r="E6" s="5" t="inlineStr">
        <is>
          <t>잉글리시 페어 앤 프리지아</t>
        </is>
      </c>
      <c r="F6" s="5" t="inlineStr">
        <is>
          <t>Cologne</t>
        </is>
      </c>
      <c r="G6" s="5" t="inlineStr">
        <is>
          <t>Pear</t>
        </is>
      </c>
      <c r="H6" s="5" t="inlineStr">
        <is>
          <t>Freesia, Rose</t>
        </is>
      </c>
      <c r="I6" s="5" t="inlineStr">
        <is>
          <t>Patchouli, Amber</t>
        </is>
      </c>
      <c r="J6" s="6" t="n"/>
      <c r="K6" s="5" t="inlineStr">
        <is>
          <t>fruity</t>
        </is>
      </c>
      <c r="L6" s="5" t="inlineStr">
        <is>
          <t>floral</t>
        </is>
      </c>
      <c r="M6" s="5" t="inlineStr">
        <is>
          <t>soft, elegant, fresh, lovely</t>
        </is>
      </c>
      <c r="N6" s="5" t="inlineStr"/>
      <c r="O6" s="5" t="inlineStr">
        <is>
          <t>light</t>
        </is>
      </c>
      <c r="P6" s="5" t="inlineStr">
        <is>
          <t>low</t>
        </is>
      </c>
      <c r="Q6" s="5" t="inlineStr">
        <is>
          <t>가을 · 데일리</t>
        </is>
      </c>
      <c r="R6" s="5" t="inlineStr">
        <is>
          <t>잘 익은 배와 프리지아의 보드라운 향</t>
        </is>
      </c>
      <c r="S6" s="5" t="inlineStr">
        <is>
          <t>시간이 지나면 부드러운 패출리와 앰버가 따뜻하게 남아요</t>
        </is>
      </c>
      <c r="T6" s="5" t="inlineStr">
        <is>
          <t>배 향이 꽃 향으로 바뀌는 순간을 맡아보세요</t>
        </is>
      </c>
      <c r="U6" s="6" t="n"/>
      <c r="V6" s="6" t="n"/>
      <c r="W6" s="6" t="n"/>
      <c r="X6" s="6" t="n"/>
      <c r="Y6" s="4" t="inlineStr">
        <is>
          <t>조말론 런던 백화점</t>
        </is>
      </c>
      <c r="Z6" s="6" t="inlineStr">
        <is>
          <t>[확인 필요]</t>
        </is>
      </c>
      <c r="AA6" s="6" t="n"/>
      <c r="AB6" s="6" t="n"/>
      <c r="AC6" s="4" t="inlineStr">
        <is>
          <t>AI 초안 (공식 확인 전)</t>
        </is>
      </c>
      <c r="AD6" s="4" t="inlineStr">
        <is>
          <t>노트·농도 공식 확인 / 국내 정가 / 이미지 / 시향 가능 채널</t>
        </is>
      </c>
    </row>
    <row r="7">
      <c r="A7" s="4" t="inlineStr">
        <is>
          <t>chanel-chance-eau-tendre</t>
        </is>
      </c>
      <c r="B7" s="4" t="inlineStr">
        <is>
          <t>Chanel</t>
        </is>
      </c>
      <c r="C7" s="5" t="inlineStr">
        <is>
          <t>샤넬</t>
        </is>
      </c>
      <c r="D7" s="4" t="inlineStr">
        <is>
          <t>Chance Eau Tendre</t>
        </is>
      </c>
      <c r="E7" s="5" t="inlineStr">
        <is>
          <t>샹스 오 땅드르</t>
        </is>
      </c>
      <c r="F7" s="5" t="inlineStr">
        <is>
          <t>EDT</t>
        </is>
      </c>
      <c r="G7" s="5" t="inlineStr">
        <is>
          <t>Grapefruit, Quince</t>
        </is>
      </c>
      <c r="H7" s="5" t="inlineStr">
        <is>
          <t>Jasmine</t>
        </is>
      </c>
      <c r="I7" s="5" t="inlineStr">
        <is>
          <t>White Musk, Iris, Cedar, Amber</t>
        </is>
      </c>
      <c r="J7" s="6" t="n"/>
      <c r="K7" s="5" t="inlineStr">
        <is>
          <t>fruity</t>
        </is>
      </c>
      <c r="L7" s="5" t="inlineStr">
        <is>
          <t>whiteFloral, powdery</t>
        </is>
      </c>
      <c r="M7" s="5" t="inlineStr">
        <is>
          <t>soft, sweet, elegant, lovely</t>
        </is>
      </c>
      <c r="N7" s="5" t="inlineStr"/>
      <c r="O7" s="5" t="inlineStr">
        <is>
          <t>light</t>
        </is>
      </c>
      <c r="P7" s="5" t="inlineStr">
        <is>
          <t>low</t>
        </is>
      </c>
      <c r="Q7" s="5" t="inlineStr">
        <is>
          <t>봄 · 데이트</t>
        </is>
      </c>
      <c r="R7" s="5" t="inlineStr">
        <is>
          <t>새콤한 과일과 하얀 꽃이 만난 부드러운 향</t>
        </is>
      </c>
      <c r="S7" s="5" t="inlineStr">
        <is>
          <t>몇 시간 뒤엔 보송한 머스크가 포근하게 남아요</t>
        </is>
      </c>
      <c r="T7" s="5" t="inlineStr">
        <is>
          <t>과일 향 뒤에 보송한 느낌이 오는지 확인해 보세요</t>
        </is>
      </c>
      <c r="U7" s="6" t="n"/>
      <c r="V7" s="6" t="n"/>
      <c r="W7" s="6" t="n"/>
      <c r="X7" s="6" t="n"/>
      <c r="Y7" s="4" t="inlineStr">
        <is>
          <t>샤넬 뷰티 백화점</t>
        </is>
      </c>
      <c r="Z7" s="6" t="inlineStr">
        <is>
          <t>[확인 필요]</t>
        </is>
      </c>
      <c r="AA7" s="6" t="n"/>
      <c r="AB7" s="6" t="n"/>
      <c r="AC7" s="4" t="inlineStr">
        <is>
          <t>AI 초안 (공식 확인 전)</t>
        </is>
      </c>
      <c r="AD7" s="4" t="inlineStr">
        <is>
          <t>노트·농도 공식 확인 / 국내 정가 / 이미지 / 시향 가능 채널</t>
        </is>
      </c>
    </row>
    <row r="8">
      <c r="A8" s="4" t="inlineStr">
        <is>
          <t>burberry-her</t>
        </is>
      </c>
      <c r="B8" s="4" t="inlineStr">
        <is>
          <t>Burberry</t>
        </is>
      </c>
      <c r="C8" s="5" t="inlineStr">
        <is>
          <t>버버리</t>
        </is>
      </c>
      <c r="D8" s="4" t="inlineStr">
        <is>
          <t>Her</t>
        </is>
      </c>
      <c r="E8" s="5" t="inlineStr">
        <is>
          <t>허</t>
        </is>
      </c>
      <c r="F8" s="5" t="inlineStr">
        <is>
          <t>EDP</t>
        </is>
      </c>
      <c r="G8" s="5" t="inlineStr">
        <is>
          <t>Blackberry, Raspberry, Strawberry</t>
        </is>
      </c>
      <c r="H8" s="5" t="inlineStr">
        <is>
          <t>Jasmine, Violet</t>
        </is>
      </c>
      <c r="I8" s="5" t="inlineStr">
        <is>
          <t>Amber, Musk, Vanilla</t>
        </is>
      </c>
      <c r="J8" s="6" t="n"/>
      <c r="K8" s="5" t="inlineStr">
        <is>
          <t>fruity</t>
        </is>
      </c>
      <c r="L8" s="5" t="inlineStr">
        <is>
          <t>gourmand</t>
        </is>
      </c>
      <c r="M8" s="5" t="inlineStr">
        <is>
          <t>sweet, cozy, warm, lovely</t>
        </is>
      </c>
      <c r="N8" s="5" t="inlineStr">
        <is>
          <t>tooSweet</t>
        </is>
      </c>
      <c r="O8" s="5" t="inlineStr">
        <is>
          <t>medium</t>
        </is>
      </c>
      <c r="P8" s="5" t="inlineStr">
        <is>
          <t>mid</t>
        </is>
      </c>
      <c r="Q8" s="5" t="inlineStr">
        <is>
          <t>가을·겨울 · 데이트</t>
        </is>
      </c>
      <c r="R8" s="5" t="inlineStr">
        <is>
          <t>베리 잼처럼 달콤하고 진한 과일 향</t>
        </is>
      </c>
      <c r="S8" s="5" t="inlineStr">
        <is>
          <t>몇 시간 뒤엔 달콤한 바닐라 머스크가 남아요</t>
        </is>
      </c>
      <c r="T8" s="5" t="inlineStr">
        <is>
          <t>첫 향의 달콤함이 부담스럽지 않은지 맡아보세요</t>
        </is>
      </c>
      <c r="U8" s="6" t="n">
        <v>50</v>
      </c>
      <c r="V8" s="10" t="n">
        <v>189000</v>
      </c>
      <c r="W8" s="6" t="inlineStr">
        <is>
          <t>2026-10-07</t>
        </is>
      </c>
      <c r="X8" s="6" t="inlineStr">
        <is>
          <t>https://kr.burberry.com/her-eau-de-parfum-50ml-p40804581</t>
        </is>
      </c>
      <c r="Y8" s="4" t="inlineStr">
        <is>
          <t>버버리 향수 백화점</t>
        </is>
      </c>
      <c r="Z8" s="6" t="inlineStr">
        <is>
          <t>[확인 필요]</t>
        </is>
      </c>
      <c r="AA8" s="6" t="inlineStr">
        <is>
          <t>burberry-her.jpg</t>
        </is>
      </c>
      <c r="AB8" s="6" t="inlineStr">
        <is>
          <t>https://kr.burberry.com/her-eau-de-parfum-50ml-p40804581</t>
        </is>
      </c>
      <c r="AC8" s="4" t="inlineStr">
        <is>
          <t>AI 초안 (공식 확인 전)</t>
        </is>
      </c>
      <c r="AD8" s="4" t="inlineStr">
        <is>
          <t>노트·농도 공식 확인 / 시향 가능 채널 (가격·이미지는 공식 페이지에서 반영됨)</t>
        </is>
      </c>
    </row>
    <row r="9">
      <c r="A9" s="4" t="inlineStr">
        <is>
          <t>marc-jacobs-daisy</t>
        </is>
      </c>
      <c r="B9" s="4" t="inlineStr">
        <is>
          <t>Marc Jacobs</t>
        </is>
      </c>
      <c r="C9" s="5" t="inlineStr">
        <is>
          <t>마크 제이콥스</t>
        </is>
      </c>
      <c r="D9" s="4" t="inlineStr">
        <is>
          <t>Daisy</t>
        </is>
      </c>
      <c r="E9" s="5" t="inlineStr">
        <is>
          <t>데이지</t>
        </is>
      </c>
      <c r="F9" s="5" t="inlineStr">
        <is>
          <t>EDT</t>
        </is>
      </c>
      <c r="G9" s="5" t="inlineStr">
        <is>
          <t>Strawberry, Violet Leaf, Grapefruit</t>
        </is>
      </c>
      <c r="H9" s="5" t="inlineStr">
        <is>
          <t>Violet, Jasmine</t>
        </is>
      </c>
      <c r="I9" s="5" t="inlineStr">
        <is>
          <t>Musk, Vanilla, Cedar</t>
        </is>
      </c>
      <c r="J9" s="6" t="n"/>
      <c r="K9" s="5" t="inlineStr">
        <is>
          <t>fruity</t>
        </is>
      </c>
      <c r="L9" s="5" t="inlineStr">
        <is>
          <t>floral</t>
        </is>
      </c>
      <c r="M9" s="5" t="inlineStr">
        <is>
          <t>soft, sweet, zesty, lovely</t>
        </is>
      </c>
      <c r="N9" s="5" t="inlineStr"/>
      <c r="O9" s="5" t="inlineStr">
        <is>
          <t>light</t>
        </is>
      </c>
      <c r="P9" s="5" t="inlineStr">
        <is>
          <t>low</t>
        </is>
      </c>
      <c r="Q9" s="5" t="inlineStr">
        <is>
          <t>봄 · 데일리</t>
        </is>
      </c>
      <c r="R9" s="5" t="inlineStr">
        <is>
          <t>딸기와 꽃이 어우러진 발랄한 향</t>
        </is>
      </c>
      <c r="S9" s="5" t="inlineStr">
        <is>
          <t>시간이 지나면 보송한 머스크와 가벼운 바닐라가 남아요</t>
        </is>
      </c>
      <c r="T9" s="5" t="inlineStr">
        <is>
          <t>딸기 향이 꽃 향으로 이어지는 변화를 맡아보세요</t>
        </is>
      </c>
      <c r="U9" s="6" t="n"/>
      <c r="V9" s="6" t="n"/>
      <c r="W9" s="6" t="n"/>
      <c r="X9" s="6" t="n"/>
      <c r="Y9" s="4" t="inlineStr">
        <is>
          <t>마크제이콥스 데이지 백화점</t>
        </is>
      </c>
      <c r="Z9" s="6" t="inlineStr">
        <is>
          <t>[확인 필요]</t>
        </is>
      </c>
      <c r="AA9" s="6" t="n"/>
      <c r="AB9" s="6" t="n"/>
      <c r="AC9" s="4" t="inlineStr">
        <is>
          <t>AI 초안 (공식 확인 전)</t>
        </is>
      </c>
      <c r="AD9" s="4" t="inlineStr">
        <is>
          <t>노트·농도 공식 확인 / 국내 정가 / 이미지 / 시향 가능 채널</t>
        </is>
      </c>
    </row>
    <row r="10">
      <c r="A10" s="4" t="inlineStr">
        <is>
          <t>armani-si-edp</t>
        </is>
      </c>
      <c r="B10" s="4" t="inlineStr">
        <is>
          <t>Giorgio Armani</t>
        </is>
      </c>
      <c r="C10" s="5" t="inlineStr">
        <is>
          <t>조르지오 아르마니</t>
        </is>
      </c>
      <c r="D10" s="4" t="inlineStr">
        <is>
          <t>Si</t>
        </is>
      </c>
      <c r="E10" s="5" t="inlineStr">
        <is>
          <t>시</t>
        </is>
      </c>
      <c r="F10" s="5" t="inlineStr">
        <is>
          <t>EDP</t>
        </is>
      </c>
      <c r="G10" s="5" t="inlineStr">
        <is>
          <t>Blackcurrant, Mandarin</t>
        </is>
      </c>
      <c r="H10" s="5" t="inlineStr">
        <is>
          <t>Freesia, Rose</t>
        </is>
      </c>
      <c r="I10" s="5" t="inlineStr">
        <is>
          <t>Vanilla, Patchouli, Amber, Musk</t>
        </is>
      </c>
      <c r="J10" s="6" t="n"/>
      <c r="K10" s="5" t="inlineStr">
        <is>
          <t>fruity</t>
        </is>
      </c>
      <c r="L10" s="5" t="inlineStr">
        <is>
          <t>amber, floral</t>
        </is>
      </c>
      <c r="M10" s="5" t="inlineStr">
        <is>
          <t>elegant, warm, sweet</t>
        </is>
      </c>
      <c r="N10" s="5" t="inlineStr"/>
      <c r="O10" s="5" t="inlineStr">
        <is>
          <t>medium</t>
        </is>
      </c>
      <c r="P10" s="5" t="inlineStr">
        <is>
          <t>mid</t>
        </is>
      </c>
      <c r="Q10" s="5" t="inlineStr">
        <is>
          <t>가을·겨울 · 저녁</t>
        </is>
      </c>
      <c r="R10" s="5" t="inlineStr">
        <is>
          <t>새콤한 베리와 바닐라가 어우러진 세련된 향</t>
        </is>
      </c>
      <c r="S10" s="5" t="inlineStr">
        <is>
          <t>몇 시간 뒤엔 부드러운 바닐라와 앰버가 남아요</t>
        </is>
      </c>
      <c r="T10" s="5" t="inlineStr">
        <is>
          <t>베리 향이 바닐라로 넘어갈 때 달콤함의 정도를 확인해 보세요</t>
        </is>
      </c>
      <c r="U10" s="6" t="n"/>
      <c r="V10" s="6" t="n"/>
      <c r="W10" s="6" t="n"/>
      <c r="X10" s="6" t="n"/>
      <c r="Y10" s="4" t="inlineStr">
        <is>
          <t>조르지오 아르마니 뷰티 백화점</t>
        </is>
      </c>
      <c r="Z10" s="6" t="inlineStr">
        <is>
          <t>[확인 필요]</t>
        </is>
      </c>
      <c r="AA10" s="6" t="n"/>
      <c r="AB10" s="6" t="n"/>
      <c r="AC10" s="4" t="inlineStr">
        <is>
          <t>AI 초안 (공식 확인 전)</t>
        </is>
      </c>
      <c r="AD10" s="4" t="inlineStr">
        <is>
          <t>노트·농도 공식 확인 / 국내 정가 / 이미지 / 시향 가능 채널</t>
        </is>
      </c>
    </row>
    <row r="11">
      <c r="A11" s="4" t="inlineStr">
        <is>
          <t>davidoff-cool-water-man</t>
        </is>
      </c>
      <c r="B11" s="4" t="inlineStr">
        <is>
          <t>Davidoff</t>
        </is>
      </c>
      <c r="C11" s="5" t="inlineStr">
        <is>
          <t>다비도프</t>
        </is>
      </c>
      <c r="D11" s="4" t="inlineStr">
        <is>
          <t>Cool Water Man</t>
        </is>
      </c>
      <c r="E11" s="5" t="inlineStr">
        <is>
          <t>쿨 워터 맨</t>
        </is>
      </c>
      <c r="F11" s="5" t="inlineStr">
        <is>
          <t>EDT</t>
        </is>
      </c>
      <c r="G11" s="5" t="inlineStr">
        <is>
          <t>Mint, Lavender, Sea Notes</t>
        </is>
      </c>
      <c r="H11" s="5" t="inlineStr">
        <is>
          <t>Geranium, Neroli, Jasmine</t>
        </is>
      </c>
      <c r="I11" s="5" t="inlineStr">
        <is>
          <t>Oakmoss, Amber, Musk, Cedar</t>
        </is>
      </c>
      <c r="J11" s="6" t="n"/>
      <c r="K11" s="5" t="inlineStr">
        <is>
          <t>aqua</t>
        </is>
      </c>
      <c r="L11" s="5" t="inlineStr">
        <is>
          <t>aromatic</t>
        </is>
      </c>
      <c r="M11" s="5" t="inlineStr">
        <is>
          <t>cool, clean, fresh</t>
        </is>
      </c>
      <c r="N11" s="5" t="inlineStr"/>
      <c r="O11" s="5" t="inlineStr">
        <is>
          <t>light</t>
        </is>
      </c>
      <c r="P11" s="5" t="inlineStr">
        <is>
          <t>low</t>
        </is>
      </c>
      <c r="Q11" s="5" t="inlineStr">
        <is>
          <t>여름 · 운동 후</t>
        </is>
      </c>
      <c r="R11" s="5" t="inlineStr">
        <is>
          <t>바닷바람 같은 시원하고 깨끗한 향</t>
        </is>
      </c>
      <c r="S11" s="5" t="inlineStr">
        <is>
          <t>시간이 지나면 가벼운 이끼와 머스크가 남아요</t>
        </is>
      </c>
      <c r="T11" s="5" t="inlineStr">
        <is>
          <t>민트의 시원함이 얼마나 오래가는지 맡아보세요</t>
        </is>
      </c>
      <c r="U11" s="6" t="n"/>
      <c r="V11" s="6" t="n"/>
      <c r="W11" s="6" t="n"/>
      <c r="X11" s="6" t="n"/>
      <c r="Y11" s="4" t="inlineStr">
        <is>
          <t>다비도프 쿨워터 백화점</t>
        </is>
      </c>
      <c r="Z11" s="6" t="inlineStr">
        <is>
          <t>[확인 필요]</t>
        </is>
      </c>
      <c r="AA11" s="6" t="n"/>
      <c r="AB11" s="6" t="n"/>
      <c r="AC11" s="4" t="inlineStr">
        <is>
          <t>AI 초안 (공식 확인 전)</t>
        </is>
      </c>
      <c r="AD11" s="4" t="inlineStr">
        <is>
          <t>노트·농도 공식 확인 / 국내 정가 / 이미지 / 시향 가능 채널</t>
        </is>
      </c>
    </row>
    <row r="12">
      <c r="A12" s="4" t="inlineStr">
        <is>
          <t>jo-malone-wood-sage-sea-salt</t>
        </is>
      </c>
      <c r="B12" s="4" t="inlineStr">
        <is>
          <t>Jo Malone London</t>
        </is>
      </c>
      <c r="C12" s="5" t="inlineStr">
        <is>
          <t>조 말론 런던</t>
        </is>
      </c>
      <c r="D12" s="4" t="inlineStr">
        <is>
          <t>Wood Sage &amp; Sea Salt</t>
        </is>
      </c>
      <c r="E12" s="5" t="inlineStr">
        <is>
          <t>우드 세이지 앤 씨 솔트</t>
        </is>
      </c>
      <c r="F12" s="5" t="inlineStr">
        <is>
          <t>Cologne</t>
        </is>
      </c>
      <c r="G12" s="5" t="inlineStr">
        <is>
          <t>Grapefruit, Sea Salt</t>
        </is>
      </c>
      <c r="H12" s="5" t="inlineStr">
        <is>
          <t>Sage</t>
        </is>
      </c>
      <c r="I12" s="5" t="inlineStr">
        <is>
          <t>Ambrette</t>
        </is>
      </c>
      <c r="J12" s="6" t="n"/>
      <c r="K12" s="5" t="inlineStr">
        <is>
          <t>aqua</t>
        </is>
      </c>
      <c r="L12" s="5" t="inlineStr">
        <is>
          <t>green, aromatic</t>
        </is>
      </c>
      <c r="M12" s="5" t="inlineStr">
        <is>
          <t>cool, calm, fresh</t>
        </is>
      </c>
      <c r="N12" s="5" t="inlineStr"/>
      <c r="O12" s="5" t="inlineStr">
        <is>
          <t>light</t>
        </is>
      </c>
      <c r="P12" s="5" t="inlineStr">
        <is>
          <t>low</t>
        </is>
      </c>
      <c r="Q12" s="5" t="inlineStr">
        <is>
          <t>봄·여름 · 산책</t>
        </is>
      </c>
      <c r="R12" s="5" t="inlineStr">
        <is>
          <t>바닷가 절벽을 걷는 듯한 짭짤하고 깨끗한 향</t>
        </is>
      </c>
      <c r="S12" s="5" t="inlineStr">
        <is>
          <t>시간이 지나면 보송한 머스크 느낌만 가볍게 남아요</t>
        </is>
      </c>
      <c r="T12" s="5" t="inlineStr">
        <is>
          <t>소금과 허브 향이 얼마나 조화로운지 맡아보세요</t>
        </is>
      </c>
      <c r="U12" s="6" t="n"/>
      <c r="V12" s="6" t="n"/>
      <c r="W12" s="6" t="n"/>
      <c r="X12" s="6" t="n"/>
      <c r="Y12" s="4" t="inlineStr">
        <is>
          <t>조말론 런던 백화점</t>
        </is>
      </c>
      <c r="Z12" s="6" t="inlineStr">
        <is>
          <t>[확인 필요]</t>
        </is>
      </c>
      <c r="AA12" s="6" t="n"/>
      <c r="AB12" s="6" t="n"/>
      <c r="AC12" s="4" t="inlineStr">
        <is>
          <t>AI 초안 (공식 확인 전)</t>
        </is>
      </c>
      <c r="AD12" s="4" t="inlineStr">
        <is>
          <t>노트·농도 공식 확인 / 국내 정가 / 이미지 / 시향 가능 채널</t>
        </is>
      </c>
    </row>
    <row r="13">
      <c r="A13" s="4" t="inlineStr">
        <is>
          <t>armani-acqua-di-gio-homme</t>
        </is>
      </c>
      <c r="B13" s="4" t="inlineStr">
        <is>
          <t>Giorgio Armani</t>
        </is>
      </c>
      <c r="C13" s="5" t="inlineStr">
        <is>
          <t>조르지오 아르마니</t>
        </is>
      </c>
      <c r="D13" s="4" t="inlineStr">
        <is>
          <t>Acqua di Giò Pour Homme</t>
        </is>
      </c>
      <c r="E13" s="5" t="inlineStr">
        <is>
          <t>아쿠아 디 지오 뿌르 옴므</t>
        </is>
      </c>
      <c r="F13" s="5" t="inlineStr">
        <is>
          <t>EDT</t>
        </is>
      </c>
      <c r="G13" s="5" t="inlineStr">
        <is>
          <t>Lime, Lemon, Bergamot</t>
        </is>
      </c>
      <c r="H13" s="5" t="inlineStr">
        <is>
          <t>Sea Notes, Jasmine, Rosemary</t>
        </is>
      </c>
      <c r="I13" s="5" t="inlineStr">
        <is>
          <t>White Musk, Cedar, Patchouli, Oakmoss</t>
        </is>
      </c>
      <c r="J13" s="6" t="n"/>
      <c r="K13" s="5" t="inlineStr">
        <is>
          <t>aqua</t>
        </is>
      </c>
      <c r="L13" s="5" t="inlineStr">
        <is>
          <t>citrus</t>
        </is>
      </c>
      <c r="M13" s="5" t="inlineStr">
        <is>
          <t>cool, clean, fresh</t>
        </is>
      </c>
      <c r="N13" s="5" t="inlineStr"/>
      <c r="O13" s="5" t="inlineStr">
        <is>
          <t>medium</t>
        </is>
      </c>
      <c r="P13" s="5" t="inlineStr">
        <is>
          <t>low</t>
        </is>
      </c>
      <c r="Q13" s="5" t="inlineStr">
        <is>
          <t>여름 · 출근</t>
        </is>
      </c>
      <c r="R13" s="5" t="inlineStr">
        <is>
          <t>시원한 바다와 시트러스의 정석 같은 향</t>
        </is>
      </c>
      <c r="S13" s="5" t="inlineStr">
        <is>
          <t>몇 시간 뒤엔 깨끗한 머스크와 나무 향이 남아요</t>
        </is>
      </c>
      <c r="T13" s="5" t="inlineStr">
        <is>
          <t>시트러스 뒤에 바다 느낌이 오는지 확인해 보세요</t>
        </is>
      </c>
      <c r="U13" s="6" t="n"/>
      <c r="V13" s="6" t="n"/>
      <c r="W13" s="6" t="n"/>
      <c r="X13" s="6" t="n"/>
      <c r="Y13" s="4" t="inlineStr">
        <is>
          <t>조르지오 아르마니 뷰티 백화점</t>
        </is>
      </c>
      <c r="Z13" s="6" t="inlineStr">
        <is>
          <t>[확인 필요]</t>
        </is>
      </c>
      <c r="AA13" s="6" t="n"/>
      <c r="AB13" s="6" t="n"/>
      <c r="AC13" s="4" t="inlineStr">
        <is>
          <t>AI 초안 (공식 확인 전)</t>
        </is>
      </c>
      <c r="AD13" s="4" t="inlineStr">
        <is>
          <t>노트·농도 공식 확인 / 국내 정가 / 이미지 / 시향 가능 채널</t>
        </is>
      </c>
    </row>
    <row r="14">
      <c r="A14" s="4" t="inlineStr">
        <is>
          <t>diptyque-philosykos</t>
        </is>
      </c>
      <c r="B14" s="4" t="inlineStr">
        <is>
          <t>Diptyque</t>
        </is>
      </c>
      <c r="C14" s="5" t="inlineStr">
        <is>
          <t>딥티크</t>
        </is>
      </c>
      <c r="D14" s="4" t="inlineStr">
        <is>
          <t>Philosykos</t>
        </is>
      </c>
      <c r="E14" s="5" t="inlineStr">
        <is>
          <t>필로시코스</t>
        </is>
      </c>
      <c r="F14" s="5" t="inlineStr">
        <is>
          <t>EDT</t>
        </is>
      </c>
      <c r="G14" s="5" t="inlineStr">
        <is>
          <t>Fig Leaf</t>
        </is>
      </c>
      <c r="H14" s="5" t="inlineStr">
        <is>
          <t>Fig, Coconut</t>
        </is>
      </c>
      <c r="I14" s="5" t="inlineStr">
        <is>
          <t>Cedar</t>
        </is>
      </c>
      <c r="J14" s="6" t="n"/>
      <c r="K14" s="5" t="inlineStr">
        <is>
          <t>green</t>
        </is>
      </c>
      <c r="L14" s="5" t="inlineStr">
        <is>
          <t>woody, fruity</t>
        </is>
      </c>
      <c r="M14" s="5" t="inlineStr">
        <is>
          <t>fresh, calm, soft</t>
        </is>
      </c>
      <c r="N14" s="5" t="inlineStr"/>
      <c r="O14" s="5" t="inlineStr">
        <is>
          <t>medium</t>
        </is>
      </c>
      <c r="P14" s="5" t="inlineStr">
        <is>
          <t>mid</t>
        </is>
      </c>
      <c r="Q14" s="5" t="inlineStr">
        <is>
          <t>봄·여름 · 휴식</t>
        </is>
      </c>
      <c r="R14" s="5" t="inlineStr">
        <is>
          <t>무화과나무 그늘 아래 같은 푸릇하고 부드러운 향</t>
        </is>
      </c>
      <c r="S14" s="5" t="inlineStr">
        <is>
          <t>시간이 지나면 우유 같은 나무 향이 조용히 남아요</t>
        </is>
      </c>
      <c r="T14" s="5" t="inlineStr">
        <is>
          <t>풀 향과 달콤한 열매 향의 균형을 맡아보세요</t>
        </is>
      </c>
      <c r="U14" s="6" t="n"/>
      <c r="V14" s="6" t="n"/>
      <c r="W14" s="6" t="n"/>
      <c r="X14" s="6" t="n"/>
      <c r="Y14" s="4" t="inlineStr">
        <is>
          <t>딥티크 백화점</t>
        </is>
      </c>
      <c r="Z14" s="6" t="inlineStr">
        <is>
          <t>[확인 필요]</t>
        </is>
      </c>
      <c r="AA14" s="6" t="n"/>
      <c r="AB14" s="6" t="n"/>
      <c r="AC14" s="4" t="inlineStr">
        <is>
          <t>AI 초안 (공식 확인 전)</t>
        </is>
      </c>
      <c r="AD14" s="4" t="inlineStr">
        <is>
          <t>노트·농도 공식 확인 / 국내 정가 / 이미지 / 시향 가능 채널</t>
        </is>
      </c>
    </row>
    <row r="15">
      <c r="A15" s="4" t="inlineStr">
        <is>
          <t>hermes-un-jardin-sur-le-nil</t>
        </is>
      </c>
      <c r="B15" s="4" t="inlineStr">
        <is>
          <t>Hermès</t>
        </is>
      </c>
      <c r="C15" s="5" t="inlineStr">
        <is>
          <t>에르메스</t>
        </is>
      </c>
      <c r="D15" s="4" t="inlineStr">
        <is>
          <t>Un Jardin sur le Nil</t>
        </is>
      </c>
      <c r="E15" s="5" t="inlineStr">
        <is>
          <t>나일 강의 정원</t>
        </is>
      </c>
      <c r="F15" s="5" t="inlineStr">
        <is>
          <t>EDT</t>
        </is>
      </c>
      <c r="G15" s="5" t="inlineStr">
        <is>
          <t>Green Mango, Grapefruit, Tomato Leaf</t>
        </is>
      </c>
      <c r="H15" s="5" t="inlineStr">
        <is>
          <t>Lotus</t>
        </is>
      </c>
      <c r="I15" s="5" t="inlineStr">
        <is>
          <t>Incense, Cedar</t>
        </is>
      </c>
      <c r="J15" s="6" t="n"/>
      <c r="K15" s="5" t="inlineStr">
        <is>
          <t>green</t>
        </is>
      </c>
      <c r="L15" s="5" t="inlineStr">
        <is>
          <t>fruity, aqua</t>
        </is>
      </c>
      <c r="M15" s="5" t="inlineStr">
        <is>
          <t>fresh, cool, soft</t>
        </is>
      </c>
      <c r="N15" s="5" t="inlineStr"/>
      <c r="O15" s="5" t="inlineStr">
        <is>
          <t>light</t>
        </is>
      </c>
      <c r="P15" s="5" t="inlineStr">
        <is>
          <t>low</t>
        </is>
      </c>
      <c r="Q15" s="5" t="inlineStr">
        <is>
          <t>봄·여름 · 데일리</t>
        </is>
      </c>
      <c r="R15" s="5" t="inlineStr">
        <is>
          <t>덜 익은 망고와 연꽃의 청량한 정원 향</t>
        </is>
      </c>
      <c r="S15" s="5" t="inlineStr">
        <is>
          <t>시간이 지나면 은은한 인센스와 나무 향이 가볍게 남아요</t>
        </is>
      </c>
      <c r="T15" s="5" t="inlineStr">
        <is>
          <t>망고의 풋풋함이 부담스럽지 않은지 맡아보세요</t>
        </is>
      </c>
      <c r="U15" s="6" t="n"/>
      <c r="V15" s="6" t="n"/>
      <c r="W15" s="6" t="n"/>
      <c r="X15" s="6" t="n"/>
      <c r="Y15" s="4" t="inlineStr">
        <is>
          <t>에르메스 뷰티 백화점</t>
        </is>
      </c>
      <c r="Z15" s="6" t="inlineStr">
        <is>
          <t>[확인 필요]</t>
        </is>
      </c>
      <c r="AA15" s="6" t="n"/>
      <c r="AB15" s="6" t="n"/>
      <c r="AC15" s="4" t="inlineStr">
        <is>
          <t>AI 초안 (공식 확인 전)</t>
        </is>
      </c>
      <c r="AD15" s="4" t="inlineStr">
        <is>
          <t>노트·농도 공식 확인 / 국내 정가 / 이미지 / 시향 가능 채널</t>
        </is>
      </c>
    </row>
    <row r="16">
      <c r="A16" s="4" t="inlineStr">
        <is>
          <t>bvlgari-eau-parfumee-the-vert</t>
        </is>
      </c>
      <c r="B16" s="4" t="inlineStr">
        <is>
          <t>Bvlgari</t>
        </is>
      </c>
      <c r="C16" s="5" t="inlineStr">
        <is>
          <t>불가리</t>
        </is>
      </c>
      <c r="D16" s="4" t="inlineStr">
        <is>
          <t>Eau Parfumée au Thé Vert</t>
        </is>
      </c>
      <c r="E16" s="5" t="inlineStr">
        <is>
          <t>오 파푸메 오 떼 베르</t>
        </is>
      </c>
      <c r="F16" s="5" t="inlineStr">
        <is>
          <t>EDC</t>
        </is>
      </c>
      <c r="G16" s="5" t="inlineStr">
        <is>
          <t>Bergamot, Orange, Coriander</t>
        </is>
      </c>
      <c r="H16" s="5" t="inlineStr">
        <is>
          <t>Green Tea, Jasmine</t>
        </is>
      </c>
      <c r="I16" s="5" t="inlineStr">
        <is>
          <t>Musk, Oakmoss, Cedar</t>
        </is>
      </c>
      <c r="J16" s="6" t="n"/>
      <c r="K16" s="5" t="inlineStr">
        <is>
          <t>green</t>
        </is>
      </c>
      <c r="L16" s="5" t="inlineStr">
        <is>
          <t>citrus, musk</t>
        </is>
      </c>
      <c r="M16" s="5" t="inlineStr">
        <is>
          <t>fresh, clean, calm</t>
        </is>
      </c>
      <c r="N16" s="5" t="inlineStr"/>
      <c r="O16" s="5" t="inlineStr">
        <is>
          <t>light</t>
        </is>
      </c>
      <c r="P16" s="5" t="inlineStr">
        <is>
          <t>low</t>
        </is>
      </c>
      <c r="Q16" s="5" t="inlineStr">
        <is>
          <t>사계절 · 출근</t>
        </is>
      </c>
      <c r="R16" s="5" t="inlineStr">
        <is>
          <t>녹차를 우린 듯한 맑고 깨끗한 향</t>
        </is>
      </c>
      <c r="S16" s="5" t="inlineStr">
        <is>
          <t>몇 시간 뒤엔 가벼운 머스크가 은은하게 남아요</t>
        </is>
      </c>
      <c r="T16" s="5" t="inlineStr">
        <is>
          <t>차 향이 시트러스 뒤에 얼마나 깔끔하게 나는지 맡아보세요</t>
        </is>
      </c>
      <c r="U16" s="6" t="n"/>
      <c r="V16" s="6" t="n"/>
      <c r="W16" s="6" t="n"/>
      <c r="X16" s="6" t="n"/>
      <c r="Y16" s="4" t="inlineStr">
        <is>
          <t>불가리 향수 백화점</t>
        </is>
      </c>
      <c r="Z16" s="6" t="inlineStr">
        <is>
          <t>[확인 필요]</t>
        </is>
      </c>
      <c r="AA16" s="6" t="n"/>
      <c r="AB16" s="6" t="n"/>
      <c r="AC16" s="4" t="inlineStr">
        <is>
          <t>AI 초안 (공식 확인 전)</t>
        </is>
      </c>
      <c r="AD16" s="4" t="inlineStr">
        <is>
          <t>노트·농도 공식 확인 / 국내 정가 / 이미지 / 시향 가능 채널</t>
        </is>
      </c>
    </row>
    <row r="17">
      <c r="A17" s="4" t="inlineStr">
        <is>
          <t>dior-sauvage-edt</t>
        </is>
      </c>
      <c r="B17" s="4" t="inlineStr">
        <is>
          <t>Dior</t>
        </is>
      </c>
      <c r="C17" s="5" t="inlineStr">
        <is>
          <t>디올</t>
        </is>
      </c>
      <c r="D17" s="4" t="inlineStr">
        <is>
          <t>Sauvage</t>
        </is>
      </c>
      <c r="E17" s="5" t="inlineStr">
        <is>
          <t>소바쥬</t>
        </is>
      </c>
      <c r="F17" s="5" t="inlineStr">
        <is>
          <t>EDT</t>
        </is>
      </c>
      <c r="G17" s="5" t="inlineStr">
        <is>
          <t>Bergamot, Pepper</t>
        </is>
      </c>
      <c r="H17" s="5" t="inlineStr">
        <is>
          <t>Lavender, Geranium, Vetiver</t>
        </is>
      </c>
      <c r="I17" s="5" t="inlineStr">
        <is>
          <t>Ambroxan, Cedar, Labdanum</t>
        </is>
      </c>
      <c r="J17" s="6" t="n"/>
      <c r="K17" s="5" t="inlineStr">
        <is>
          <t>aromatic</t>
        </is>
      </c>
      <c r="L17" s="5" t="inlineStr">
        <is>
          <t>spicy, woody</t>
        </is>
      </c>
      <c r="M17" s="5" t="inlineStr">
        <is>
          <t>cool, deep, fresh</t>
        </is>
      </c>
      <c r="N17" s="5" t="inlineStr"/>
      <c r="O17" s="5" t="inlineStr">
        <is>
          <t>medium</t>
        </is>
      </c>
      <c r="P17" s="5" t="inlineStr">
        <is>
          <t>mid</t>
        </is>
      </c>
      <c r="Q17" s="5" t="inlineStr">
        <is>
          <t>사계절 · 데이트</t>
        </is>
      </c>
      <c r="R17" s="5" t="inlineStr">
        <is>
          <t>상쾌한 시트러스와 후추, 깨끗한 나무 향</t>
        </is>
      </c>
      <c r="S17" s="5" t="inlineStr">
        <is>
          <t>몇 시간 뒤엔 깔끔한 앰버와 나무 향이 남아요</t>
        </is>
      </c>
      <c r="T17" s="5" t="inlineStr">
        <is>
          <t>첫 향의 후추 느낌이 얼마나 강한지 맡아보세요</t>
        </is>
      </c>
      <c r="U17" s="6" t="n"/>
      <c r="V17" s="6" t="n"/>
      <c r="W17" s="6" t="n"/>
      <c r="X17" s="6" t="n"/>
      <c r="Y17" s="4" t="inlineStr">
        <is>
          <t>디올 뷰티 백화점</t>
        </is>
      </c>
      <c r="Z17" s="6" t="inlineStr">
        <is>
          <t>[확인 필요]</t>
        </is>
      </c>
      <c r="AA17" s="6" t="n"/>
      <c r="AB17" s="6" t="n"/>
      <c r="AC17" s="4" t="inlineStr">
        <is>
          <t>AI 초안 (공식 확인 전)</t>
        </is>
      </c>
      <c r="AD17" s="4" t="inlineStr">
        <is>
          <t>노트·농도 공식 확인 / 국내 정가 / 이미지 / 시향 가능 채널</t>
        </is>
      </c>
    </row>
    <row r="18">
      <c r="A18" s="4" t="inlineStr">
        <is>
          <t>chanel-bleu-de-chanel-edp</t>
        </is>
      </c>
      <c r="B18" s="4" t="inlineStr">
        <is>
          <t>Chanel</t>
        </is>
      </c>
      <c r="C18" s="5" t="inlineStr">
        <is>
          <t>샤넬</t>
        </is>
      </c>
      <c r="D18" s="4" t="inlineStr">
        <is>
          <t>Bleu de Chanel</t>
        </is>
      </c>
      <c r="E18" s="5" t="inlineStr">
        <is>
          <t>블루 드 샤넬</t>
        </is>
      </c>
      <c r="F18" s="5" t="inlineStr">
        <is>
          <t>EDP</t>
        </is>
      </c>
      <c r="G18" s="5" t="inlineStr">
        <is>
          <t>Grapefruit, Lemon, Mint, Pink Pepper</t>
        </is>
      </c>
      <c r="H18" s="5" t="inlineStr">
        <is>
          <t>Ginger, Nutmeg, Jasmine</t>
        </is>
      </c>
      <c r="I18" s="5" t="inlineStr">
        <is>
          <t>Incense, Cedar, Sandalwood, Patchouli</t>
        </is>
      </c>
      <c r="J18" s="6" t="n"/>
      <c r="K18" s="5" t="inlineStr">
        <is>
          <t>aromatic</t>
        </is>
      </c>
      <c r="L18" s="5" t="inlineStr">
        <is>
          <t>woody, citrus</t>
        </is>
      </c>
      <c r="M18" s="5" t="inlineStr">
        <is>
          <t>calm, deep, clean</t>
        </is>
      </c>
      <c r="N18" s="5" t="inlineStr"/>
      <c r="O18" s="5" t="inlineStr">
        <is>
          <t>medium</t>
        </is>
      </c>
      <c r="P18" s="5" t="inlineStr">
        <is>
          <t>low</t>
        </is>
      </c>
      <c r="Q18" s="5" t="inlineStr">
        <is>
          <t>사계절 · 출근</t>
        </is>
      </c>
      <c r="R18" s="5" t="inlineStr">
        <is>
          <t>상큼한 시트러스에서 깊은 나무 향으로 이어지는 단정한 향</t>
        </is>
      </c>
      <c r="S18" s="5" t="inlineStr">
        <is>
          <t>몇 시간 뒤엔 차분한 우디 향이 남아요</t>
        </is>
      </c>
      <c r="T18" s="5" t="inlineStr">
        <is>
          <t>첫 향의 자몽이 나무 향으로 바뀌는 흐름을 맡아보세요</t>
        </is>
      </c>
      <c r="U18" s="6" t="n"/>
      <c r="V18" s="6" t="n"/>
      <c r="W18" s="6" t="n"/>
      <c r="X18" s="6" t="n"/>
      <c r="Y18" s="4" t="inlineStr">
        <is>
          <t>샤넬 뷰티 백화점</t>
        </is>
      </c>
      <c r="Z18" s="6" t="inlineStr">
        <is>
          <t>[확인 필요]</t>
        </is>
      </c>
      <c r="AA18" s="6" t="n"/>
      <c r="AB18" s="6" t="n"/>
      <c r="AC18" s="4" t="inlineStr">
        <is>
          <t>AI 초안 (공식 확인 전)</t>
        </is>
      </c>
      <c r="AD18" s="4" t="inlineStr">
        <is>
          <t>노트·농도 공식 확인 / 국내 정가 / 이미지 / 시향 가능 채널</t>
        </is>
      </c>
    </row>
    <row r="19">
      <c r="A19" s="4" t="inlineStr">
        <is>
          <t>jean-paul-gaultier-le-male</t>
        </is>
      </c>
      <c r="B19" s="4" t="inlineStr">
        <is>
          <t>Jean Paul Gaultier</t>
        </is>
      </c>
      <c r="C19" s="5" t="inlineStr">
        <is>
          <t>장 폴 고티에</t>
        </is>
      </c>
      <c r="D19" s="4" t="inlineStr">
        <is>
          <t>Le Male</t>
        </is>
      </c>
      <c r="E19" s="5" t="inlineStr">
        <is>
          <t>르 말</t>
        </is>
      </c>
      <c r="F19" s="5" t="inlineStr">
        <is>
          <t>EDT</t>
        </is>
      </c>
      <c r="G19" s="5" t="inlineStr">
        <is>
          <t>Mint, Lavender, Bergamot, Cardamom</t>
        </is>
      </c>
      <c r="H19" s="5" t="inlineStr">
        <is>
          <t>Cinnamon, Orange Blossom</t>
        </is>
      </c>
      <c r="I19" s="5" t="inlineStr">
        <is>
          <t>Vanilla, Tonka Bean, Sandalwood, Amber</t>
        </is>
      </c>
      <c r="J19" s="6" t="n"/>
      <c r="K19" s="5" t="inlineStr">
        <is>
          <t>aromatic</t>
        </is>
      </c>
      <c r="L19" s="5" t="inlineStr">
        <is>
          <t>gourmand, spicy</t>
        </is>
      </c>
      <c r="M19" s="5" t="inlineStr">
        <is>
          <t>cozy, warm, sweet</t>
        </is>
      </c>
      <c r="N19" s="5" t="inlineStr">
        <is>
          <t>tooSweet</t>
        </is>
      </c>
      <c r="O19" s="5" t="inlineStr">
        <is>
          <t>strong</t>
        </is>
      </c>
      <c r="P19" s="5" t="inlineStr">
        <is>
          <t>mid</t>
        </is>
      </c>
      <c r="Q19" s="5" t="inlineStr">
        <is>
          <t>가을·겨울 · 저녁</t>
        </is>
      </c>
      <c r="R19" s="5" t="inlineStr">
        <is>
          <t>라벤더와 바닐라가 만난 달콤하고 따뜻한 향</t>
        </is>
      </c>
      <c r="S19" s="5" t="inlineStr">
        <is>
          <t>몇 시간 뒤엔 포근한 바닐라 향이 오래 남아요</t>
        </is>
      </c>
      <c r="T19" s="5" t="inlineStr">
        <is>
          <t>달콤한 바닐라 느낌이 부담스럽지 않은지 확인해 보세요</t>
        </is>
      </c>
      <c r="U19" s="6" t="n"/>
      <c r="V19" s="6" t="n"/>
      <c r="W19" s="6" t="n"/>
      <c r="X19" s="6" t="n"/>
      <c r="Y19" s="4" t="inlineStr">
        <is>
          <t>장폴고티에 향수 백화점</t>
        </is>
      </c>
      <c r="Z19" s="6" t="inlineStr">
        <is>
          <t>[확인 필요]</t>
        </is>
      </c>
      <c r="AA19" s="6" t="n"/>
      <c r="AB19" s="6" t="n"/>
      <c r="AC19" s="4" t="inlineStr">
        <is>
          <t>AI 초안 (공식 확인 전)</t>
        </is>
      </c>
      <c r="AD19" s="4" t="inlineStr">
        <is>
          <t>노트·농도 공식 확인 / 국내 정가 / 이미지 / 시향 가능 채널</t>
        </is>
      </c>
    </row>
    <row r="20">
      <c r="A20" s="4" t="inlineStr">
        <is>
          <t>viktor-rolf-flowerbomb</t>
        </is>
      </c>
      <c r="B20" s="4" t="inlineStr">
        <is>
          <t>Viktor&amp;Rolf</t>
        </is>
      </c>
      <c r="C20" s="5" t="inlineStr">
        <is>
          <t>빅터 앤 롤프</t>
        </is>
      </c>
      <c r="D20" s="4" t="inlineStr">
        <is>
          <t>Flowerbomb</t>
        </is>
      </c>
      <c r="E20" s="5" t="inlineStr">
        <is>
          <t>플라워밤</t>
        </is>
      </c>
      <c r="F20" s="5" t="inlineStr">
        <is>
          <t>EDP</t>
        </is>
      </c>
      <c r="G20" s="5" t="inlineStr">
        <is>
          <t>Bergamot, Tea</t>
        </is>
      </c>
      <c r="H20" s="5" t="inlineStr">
        <is>
          <t>Jasmine, Orchid, Rose, Freesia</t>
        </is>
      </c>
      <c r="I20" s="5" t="inlineStr">
        <is>
          <t>Patchouli, Musk</t>
        </is>
      </c>
      <c r="J20" s="6" t="n"/>
      <c r="K20" s="5" t="inlineStr">
        <is>
          <t>floral</t>
        </is>
      </c>
      <c r="L20" s="5" t="inlineStr">
        <is>
          <t>whiteFloral</t>
        </is>
      </c>
      <c r="M20" s="5" t="inlineStr">
        <is>
          <t>elegant, sweet, warm, lovely</t>
        </is>
      </c>
      <c r="N20" s="5" t="inlineStr">
        <is>
          <t>heavyFloral</t>
        </is>
      </c>
      <c r="O20" s="5" t="inlineStr">
        <is>
          <t>strong</t>
        </is>
      </c>
      <c r="P20" s="5" t="inlineStr">
        <is>
          <t>high</t>
        </is>
      </c>
      <c r="Q20" s="5" t="inlineStr">
        <is>
          <t>가을·겨울 · 저녁</t>
        </is>
      </c>
      <c r="R20" s="5" t="inlineStr">
        <is>
          <t>꽃다발이 터지는 듯한 화려한 꽃 향</t>
        </is>
      </c>
      <c r="S20" s="5" t="inlineStr">
        <is>
          <t>시간이 지나면 달콤한 패출리와 머스크가 남아요</t>
        </is>
      </c>
      <c r="T20" s="5" t="inlineStr">
        <is>
          <t>꽃 향이 진해서 호불호가 갈릴 수 있으니 한 번에 길게 맡아보세요</t>
        </is>
      </c>
      <c r="U20" s="6" t="n"/>
      <c r="V20" s="6" t="n"/>
      <c r="W20" s="6" t="n"/>
      <c r="X20" s="6" t="n"/>
      <c r="Y20" s="4" t="inlineStr">
        <is>
          <t>빅터앤롤프 플라워밤 백화점</t>
        </is>
      </c>
      <c r="Z20" s="6" t="inlineStr">
        <is>
          <t>[확인 필요]</t>
        </is>
      </c>
      <c r="AA20" s="6" t="n"/>
      <c r="AB20" s="6" t="n"/>
      <c r="AC20" s="4" t="inlineStr">
        <is>
          <t>AI 초안 (공식 확인 전)</t>
        </is>
      </c>
      <c r="AD20" s="4" t="inlineStr">
        <is>
          <t>노트·농도 공식 확인 / 국내 정가 / 이미지 / 시향 가능 채널</t>
        </is>
      </c>
    </row>
    <row r="21">
      <c r="A21" s="4" t="inlineStr">
        <is>
          <t>dior-miss-dior-blooming-bouquet</t>
        </is>
      </c>
      <c r="B21" s="4" t="inlineStr">
        <is>
          <t>Dior</t>
        </is>
      </c>
      <c r="C21" s="5" t="inlineStr">
        <is>
          <t>디올</t>
        </is>
      </c>
      <c r="D21" s="4" t="inlineStr">
        <is>
          <t>Miss Dior Blooming Bouquet</t>
        </is>
      </c>
      <c r="E21" s="5" t="inlineStr">
        <is>
          <t>미스 디올 블루밍 부케</t>
        </is>
      </c>
      <c r="F21" s="5" t="inlineStr">
        <is>
          <t>EDT</t>
        </is>
      </c>
      <c r="G21" s="5" t="inlineStr">
        <is>
          <t>Mandarin, Bergamot</t>
        </is>
      </c>
      <c r="H21" s="5" t="inlineStr">
        <is>
          <t>Peony, Damask Rose</t>
        </is>
      </c>
      <c r="I21" s="5" t="inlineStr">
        <is>
          <t>White Musk</t>
        </is>
      </c>
      <c r="J21" s="6" t="n"/>
      <c r="K21" s="5" t="inlineStr">
        <is>
          <t>floral</t>
        </is>
      </c>
      <c r="L21" s="5" t="inlineStr">
        <is>
          <t>musk, citrus</t>
        </is>
      </c>
      <c r="M21" s="5" t="inlineStr">
        <is>
          <t>elegant, soft, fresh, lovely</t>
        </is>
      </c>
      <c r="N21" s="5" t="inlineStr"/>
      <c r="O21" s="5" t="inlineStr">
        <is>
          <t>light</t>
        </is>
      </c>
      <c r="P21" s="5" t="inlineStr">
        <is>
          <t>low</t>
        </is>
      </c>
      <c r="Q21" s="5" t="inlineStr">
        <is>
          <t>봄 · 데이트</t>
        </is>
      </c>
      <c r="R21" s="5" t="inlineStr">
        <is>
          <t>작약과 장미가 싱그럽게 피어나는 가벼운 꽃 향</t>
        </is>
      </c>
      <c r="S21" s="5" t="inlineStr">
        <is>
          <t>몇 시간 뒤엔 보송한 화이트 머스크가 남아요</t>
        </is>
      </c>
      <c r="T21" s="5" t="inlineStr">
        <is>
          <t>꽃 향이 가볍게 퍼지는지 손목에 뿌려 맡아보세요</t>
        </is>
      </c>
      <c r="U21" s="6" t="n"/>
      <c r="V21" s="6" t="n"/>
      <c r="W21" s="6" t="n"/>
      <c r="X21" s="6" t="n"/>
      <c r="Y21" s="4" t="inlineStr">
        <is>
          <t>디올 뷰티 백화점</t>
        </is>
      </c>
      <c r="Z21" s="6" t="inlineStr">
        <is>
          <t>[확인 필요]</t>
        </is>
      </c>
      <c r="AA21" s="6" t="n"/>
      <c r="AB21" s="6" t="n"/>
      <c r="AC21" s="4" t="inlineStr">
        <is>
          <t>AI 초안 (공식 확인 전)</t>
        </is>
      </c>
      <c r="AD21" s="4" t="inlineStr">
        <is>
          <t>노트·농도 공식 확인 / 국내 정가 / 이미지 / 시향 가능 채널</t>
        </is>
      </c>
    </row>
    <row r="22">
      <c r="A22" s="4" t="inlineStr">
        <is>
          <t>jo-malone-peony-blush-suede</t>
        </is>
      </c>
      <c r="B22" s="4" t="inlineStr">
        <is>
          <t>Jo Malone London</t>
        </is>
      </c>
      <c r="C22" s="5" t="inlineStr">
        <is>
          <t>조 말론 런던</t>
        </is>
      </c>
      <c r="D22" s="4" t="inlineStr">
        <is>
          <t>Peony &amp; Blush Suede</t>
        </is>
      </c>
      <c r="E22" s="5" t="inlineStr">
        <is>
          <t>피오니 앤 블러쉬 스웨이드</t>
        </is>
      </c>
      <c r="F22" s="5" t="inlineStr">
        <is>
          <t>Cologne</t>
        </is>
      </c>
      <c r="G22" s="5" t="inlineStr">
        <is>
          <t>Apple</t>
        </is>
      </c>
      <c r="H22" s="5" t="inlineStr">
        <is>
          <t>Peony, Jasmine, Rose</t>
        </is>
      </c>
      <c r="I22" s="5" t="inlineStr">
        <is>
          <t>Suede</t>
        </is>
      </c>
      <c r="J22" s="6" t="n"/>
      <c r="K22" s="5" t="inlineStr">
        <is>
          <t>floral</t>
        </is>
      </c>
      <c r="L22" s="5" t="inlineStr">
        <is>
          <t>powdery, leather</t>
        </is>
      </c>
      <c r="M22" s="5" t="inlineStr">
        <is>
          <t>elegant, soft, warm, lovely</t>
        </is>
      </c>
      <c r="N22" s="5" t="inlineStr"/>
      <c r="O22" s="5" t="inlineStr">
        <is>
          <t>medium</t>
        </is>
      </c>
      <c r="P22" s="5" t="inlineStr">
        <is>
          <t>mid</t>
        </is>
      </c>
      <c r="Q22" s="5" t="inlineStr">
        <is>
          <t>봄·가을 · 데이트</t>
        </is>
      </c>
      <c r="R22" s="5" t="inlineStr">
        <is>
          <t>작약과 장미를 부드러운 스웨이드가 감싸는 향</t>
        </is>
      </c>
      <c r="S22" s="5" t="inlineStr">
        <is>
          <t>시간이 지나면 보들보들한 가죽 느낌이 남아요</t>
        </is>
      </c>
      <c r="T22" s="5" t="inlineStr">
        <is>
          <t>꽃 향 뒤에 스웨이드가 느껴지는지 맡아보세요</t>
        </is>
      </c>
      <c r="U22" s="6" t="n"/>
      <c r="V22" s="6" t="n"/>
      <c r="W22" s="6" t="n"/>
      <c r="X22" s="6" t="n"/>
      <c r="Y22" s="4" t="inlineStr">
        <is>
          <t>조말론 런던 백화점</t>
        </is>
      </c>
      <c r="Z22" s="6" t="inlineStr">
        <is>
          <t>[확인 필요]</t>
        </is>
      </c>
      <c r="AA22" s="6" t="n"/>
      <c r="AB22" s="6" t="n"/>
      <c r="AC22" s="4" t="inlineStr">
        <is>
          <t>AI 초안 (공식 확인 전)</t>
        </is>
      </c>
      <c r="AD22" s="4" t="inlineStr">
        <is>
          <t>노트·농도 공식 확인 / 국내 정가 / 이미지 / 시향 가능 채널</t>
        </is>
      </c>
    </row>
    <row r="23">
      <c r="A23" s="4" t="inlineStr">
        <is>
          <t>chanel-coco-mademoiselle</t>
        </is>
      </c>
      <c r="B23" s="4" t="inlineStr">
        <is>
          <t>Chanel</t>
        </is>
      </c>
      <c r="C23" s="5" t="inlineStr">
        <is>
          <t>샤넬</t>
        </is>
      </c>
      <c r="D23" s="4" t="inlineStr">
        <is>
          <t>Coco Mademoiselle</t>
        </is>
      </c>
      <c r="E23" s="5" t="inlineStr">
        <is>
          <t>코코 마드모아젤</t>
        </is>
      </c>
      <c r="F23" s="5" t="inlineStr">
        <is>
          <t>EDP</t>
        </is>
      </c>
      <c r="G23" s="5" t="inlineStr">
        <is>
          <t>Orange, Bergamot, Grapefruit</t>
        </is>
      </c>
      <c r="H23" s="5" t="inlineStr">
        <is>
          <t>Jasmine, Rose</t>
        </is>
      </c>
      <c r="I23" s="5" t="inlineStr">
        <is>
          <t>Patchouli, Vetiver, Vanilla, White Musk</t>
        </is>
      </c>
      <c r="J23" s="6" t="n"/>
      <c r="K23" s="5" t="inlineStr">
        <is>
          <t>floral</t>
        </is>
      </c>
      <c r="L23" s="5" t="inlineStr">
        <is>
          <t>citrus, woody</t>
        </is>
      </c>
      <c r="M23" s="5" t="inlineStr">
        <is>
          <t>elegant, warm, fresh</t>
        </is>
      </c>
      <c r="N23" s="5" t="inlineStr"/>
      <c r="O23" s="5" t="inlineStr">
        <is>
          <t>medium</t>
        </is>
      </c>
      <c r="P23" s="5" t="inlineStr">
        <is>
          <t>low</t>
        </is>
      </c>
      <c r="Q23" s="5" t="inlineStr">
        <is>
          <t>사계절 · 데이트</t>
        </is>
      </c>
      <c r="R23" s="5" t="inlineStr">
        <is>
          <t>상큼한 시트러스와 장미가 조화로운 세련된 향</t>
        </is>
      </c>
      <c r="S23" s="5" t="inlineStr">
        <is>
          <t>몇 시간 뒤엔 패출리와 바닐라가 부드럽게 남아요</t>
        </is>
      </c>
      <c r="T23" s="5" t="inlineStr">
        <is>
          <t>시트러스에서 꽃, 나무 향으로 바뀌는 흐름을 맡아보세요</t>
        </is>
      </c>
      <c r="U23" s="6" t="n"/>
      <c r="V23" s="6" t="n"/>
      <c r="W23" s="6" t="n"/>
      <c r="X23" s="6" t="n"/>
      <c r="Y23" s="4" t="inlineStr">
        <is>
          <t>샤넬 뷰티 백화점</t>
        </is>
      </c>
      <c r="Z23" s="6" t="inlineStr">
        <is>
          <t>[확인 필요]</t>
        </is>
      </c>
      <c r="AA23" s="6" t="n"/>
      <c r="AB23" s="6" t="n"/>
      <c r="AC23" s="4" t="inlineStr">
        <is>
          <t>AI 초안 (공식 확인 전)</t>
        </is>
      </c>
      <c r="AD23" s="4" t="inlineStr">
        <is>
          <t>노트·농도 공식 확인 / 국내 정가 / 이미지 / 시향 가능 채널</t>
        </is>
      </c>
    </row>
    <row r="24">
      <c r="A24" s="4" t="inlineStr">
        <is>
          <t>dior-jadore-edp</t>
        </is>
      </c>
      <c r="B24" s="4" t="inlineStr">
        <is>
          <t>Dior</t>
        </is>
      </c>
      <c r="C24" s="5" t="inlineStr">
        <is>
          <t>디올</t>
        </is>
      </c>
      <c r="D24" s="4" t="inlineStr">
        <is>
          <t>J'adore</t>
        </is>
      </c>
      <c r="E24" s="5" t="inlineStr">
        <is>
          <t>쟈도르</t>
        </is>
      </c>
      <c r="F24" s="5" t="inlineStr">
        <is>
          <t>EDP</t>
        </is>
      </c>
      <c r="G24" s="5" t="inlineStr">
        <is>
          <t>Pear, Bergamot, Magnolia</t>
        </is>
      </c>
      <c r="H24" s="5" t="inlineStr">
        <is>
          <t>Jasmine, Rose</t>
        </is>
      </c>
      <c r="I24" s="5" t="inlineStr">
        <is>
          <t>Musk, Vanilla, Cedar</t>
        </is>
      </c>
      <c r="J24" s="6" t="n"/>
      <c r="K24" s="5" t="inlineStr">
        <is>
          <t>whiteFloral</t>
        </is>
      </c>
      <c r="L24" s="5" t="inlineStr">
        <is>
          <t>floral, fruity</t>
        </is>
      </c>
      <c r="M24" s="5" t="inlineStr">
        <is>
          <t>elegant, sweet, soft, lovely</t>
        </is>
      </c>
      <c r="N24" s="5" t="inlineStr"/>
      <c r="O24" s="5" t="inlineStr">
        <is>
          <t>medium</t>
        </is>
      </c>
      <c r="P24" s="5" t="inlineStr">
        <is>
          <t>mid</t>
        </is>
      </c>
      <c r="Q24" s="5" t="inlineStr">
        <is>
          <t>사계절 · 데이트</t>
        </is>
      </c>
      <c r="R24" s="5" t="inlineStr">
        <is>
          <t>과즙 같은 첫 향과 우아한 하얀 꽃 향</t>
        </is>
      </c>
      <c r="S24" s="5" t="inlineStr">
        <is>
          <t>몇 시간 뒤엔 부드러운 머스크와 바닐라가 남아요</t>
        </is>
      </c>
      <c r="T24" s="5" t="inlineStr">
        <is>
          <t>꽃 향이 진한 정도를 손목에서 확인해 보세요</t>
        </is>
      </c>
      <c r="U24" s="6" t="n"/>
      <c r="V24" s="6" t="n"/>
      <c r="W24" s="6" t="n"/>
      <c r="X24" s="6" t="n"/>
      <c r="Y24" s="4" t="inlineStr">
        <is>
          <t>디올 뷰티 백화점</t>
        </is>
      </c>
      <c r="Z24" s="6" t="inlineStr">
        <is>
          <t>[확인 필요]</t>
        </is>
      </c>
      <c r="AA24" s="6" t="n"/>
      <c r="AB24" s="6" t="n"/>
      <c r="AC24" s="4" t="inlineStr">
        <is>
          <t>AI 초안 (공식 확인 전)</t>
        </is>
      </c>
      <c r="AD24" s="4" t="inlineStr">
        <is>
          <t>노트·농도 공식 확인 / 국내 정가 / 이미지 / 시향 가능 채널</t>
        </is>
      </c>
    </row>
    <row r="25">
      <c r="A25" s="4" t="inlineStr">
        <is>
          <t>gucci-bloom</t>
        </is>
      </c>
      <c r="B25" s="4" t="inlineStr">
        <is>
          <t>Gucci</t>
        </is>
      </c>
      <c r="C25" s="5" t="inlineStr">
        <is>
          <t>구찌</t>
        </is>
      </c>
      <c r="D25" s="4" t="inlineStr">
        <is>
          <t>Bloom</t>
        </is>
      </c>
      <c r="E25" s="5" t="inlineStr">
        <is>
          <t>블룸</t>
        </is>
      </c>
      <c r="F25" s="5" t="inlineStr">
        <is>
          <t>EDP</t>
        </is>
      </c>
      <c r="G25" s="5" t="inlineStr">
        <is>
          <t>Jasmine</t>
        </is>
      </c>
      <c r="H25" s="5" t="inlineStr">
        <is>
          <t>Tuberose</t>
        </is>
      </c>
      <c r="I25" s="5" t="inlineStr">
        <is>
          <t>Rangoon Creeper</t>
        </is>
      </c>
      <c r="J25" s="6" t="n"/>
      <c r="K25" s="5" t="inlineStr">
        <is>
          <t>whiteFloral</t>
        </is>
      </c>
      <c r="L25" s="5" t="inlineStr">
        <is>
          <t>floral</t>
        </is>
      </c>
      <c r="M25" s="5" t="inlineStr">
        <is>
          <t>elegant, soft, lovely</t>
        </is>
      </c>
      <c r="N25" s="5" t="inlineStr">
        <is>
          <t>heavyFloral</t>
        </is>
      </c>
      <c r="O25" s="5" t="inlineStr">
        <is>
          <t>medium</t>
        </is>
      </c>
      <c r="P25" s="5" t="inlineStr">
        <is>
          <t>mid</t>
        </is>
      </c>
      <c r="Q25" s="5" t="inlineStr">
        <is>
          <t>봄·가을 · 데이트</t>
        </is>
      </c>
      <c r="R25" s="5" t="inlineStr">
        <is>
          <t>하얀 꽃이 가득한 정원 같은 진한 꽃 향</t>
        </is>
      </c>
      <c r="S25" s="5" t="inlineStr">
        <is>
          <t>시간이 지나도 꽃 향이 은은하게 이어져요</t>
        </is>
      </c>
      <c r="T25" s="5" t="inlineStr">
        <is>
          <t>꽃 향이 진한 편이라 호불호가 있는지 확인해 보세요</t>
        </is>
      </c>
      <c r="U25" s="6" t="n"/>
      <c r="V25" s="6" t="n"/>
      <c r="W25" s="6" t="n"/>
      <c r="X25" s="6" t="n"/>
      <c r="Y25" s="4" t="inlineStr">
        <is>
          <t>구찌 뷰티 백화점</t>
        </is>
      </c>
      <c r="Z25" s="6" t="inlineStr">
        <is>
          <t>[확인 필요]</t>
        </is>
      </c>
      <c r="AA25" s="6" t="n"/>
      <c r="AB25" s="6" t="n"/>
      <c r="AC25" s="4" t="inlineStr">
        <is>
          <t>AI 초안 (공식 확인 전)</t>
        </is>
      </c>
      <c r="AD25" s="4" t="inlineStr">
        <is>
          <t>노트·농도 공식 확인 / 국내 정가 / 이미지 / 시향 가능 채널</t>
        </is>
      </c>
    </row>
    <row r="26">
      <c r="A26" s="4" t="inlineStr">
        <is>
          <t>diptyque-do-son</t>
        </is>
      </c>
      <c r="B26" s="4" t="inlineStr">
        <is>
          <t>Diptyque</t>
        </is>
      </c>
      <c r="C26" s="5" t="inlineStr">
        <is>
          <t>딥티크</t>
        </is>
      </c>
      <c r="D26" s="4" t="inlineStr">
        <is>
          <t>Do Son</t>
        </is>
      </c>
      <c r="E26" s="5" t="inlineStr">
        <is>
          <t>도 손</t>
        </is>
      </c>
      <c r="F26" s="5" t="inlineStr">
        <is>
          <t>EDT</t>
        </is>
      </c>
      <c r="G26" s="5" t="inlineStr">
        <is>
          <t>Orange Blossom, Pink Pepper</t>
        </is>
      </c>
      <c r="H26" s="5" t="inlineStr">
        <is>
          <t>Tuberose, Jasmine</t>
        </is>
      </c>
      <c r="I26" s="5" t="inlineStr">
        <is>
          <t>Iris, Musk</t>
        </is>
      </c>
      <c r="J26" s="6" t="n"/>
      <c r="K26" s="5" t="inlineStr">
        <is>
          <t>whiteFloral</t>
        </is>
      </c>
      <c r="L26" s="5" t="inlineStr">
        <is>
          <t>powdery, musk</t>
        </is>
      </c>
      <c r="M26" s="5" t="inlineStr">
        <is>
          <t>elegant, soft, calm</t>
        </is>
      </c>
      <c r="N26" s="5" t="inlineStr"/>
      <c r="O26" s="5" t="inlineStr">
        <is>
          <t>medium</t>
        </is>
      </c>
      <c r="P26" s="5" t="inlineStr">
        <is>
          <t>mid</t>
        </is>
      </c>
      <c r="Q26" s="5" t="inlineStr">
        <is>
          <t>여름 · 저녁</t>
        </is>
      </c>
      <c r="R26" s="5" t="inlineStr">
        <is>
          <t>달콤한 하얀 꽃과 보송한 머스크가 어우러진 향</t>
        </is>
      </c>
      <c r="S26" s="5" t="inlineStr">
        <is>
          <t>시간이 지나면 보송한 분내가 잔잔하게 남아요</t>
        </is>
      </c>
      <c r="T26" s="5" t="inlineStr">
        <is>
          <t>튜베로즈의 진함이 부담스럽지 않은지 맡아보세요</t>
        </is>
      </c>
      <c r="U26" s="6" t="n"/>
      <c r="V26" s="6" t="n"/>
      <c r="W26" s="6" t="n"/>
      <c r="X26" s="6" t="n"/>
      <c r="Y26" s="4" t="inlineStr">
        <is>
          <t>딥티크 백화점</t>
        </is>
      </c>
      <c r="Z26" s="6" t="inlineStr">
        <is>
          <t>[확인 필요]</t>
        </is>
      </c>
      <c r="AA26" s="6" t="n"/>
      <c r="AB26" s="6" t="n"/>
      <c r="AC26" s="4" t="inlineStr">
        <is>
          <t>AI 초안 (공식 확인 전)</t>
        </is>
      </c>
      <c r="AD26" s="4" t="inlineStr">
        <is>
          <t>노트·농도 공식 확인 / 국내 정가 / 이미지 / 시향 가능 채널</t>
        </is>
      </c>
    </row>
    <row r="27">
      <c r="A27" s="4" t="inlineStr">
        <is>
          <t>chanel-no5-edp</t>
        </is>
      </c>
      <c r="B27" s="4" t="inlineStr">
        <is>
          <t>Chanel</t>
        </is>
      </c>
      <c r="C27" s="5" t="inlineStr">
        <is>
          <t>샤넬</t>
        </is>
      </c>
      <c r="D27" s="4" t="inlineStr">
        <is>
          <t>N°5</t>
        </is>
      </c>
      <c r="E27" s="5" t="inlineStr">
        <is>
          <t>N°5</t>
        </is>
      </c>
      <c r="F27" s="5" t="inlineStr">
        <is>
          <t>EDP</t>
        </is>
      </c>
      <c r="G27" s="5" t="inlineStr">
        <is>
          <t>Aldehydes, Neroli, Bergamot</t>
        </is>
      </c>
      <c r="H27" s="5" t="inlineStr">
        <is>
          <t>Jasmine, Rose, Ylang-Ylang, Iris</t>
        </is>
      </c>
      <c r="I27" s="5" t="inlineStr">
        <is>
          <t>Sandalwood, Vetiver, Vanilla, Amber</t>
        </is>
      </c>
      <c r="J27" s="6" t="n"/>
      <c r="K27" s="5" t="inlineStr">
        <is>
          <t>whiteFloral</t>
        </is>
      </c>
      <c r="L27" s="5" t="inlineStr">
        <is>
          <t>powdery, musk</t>
        </is>
      </c>
      <c r="M27" s="5" t="inlineStr">
        <is>
          <t>elegant, calm</t>
        </is>
      </c>
      <c r="N27" s="5" t="inlineStr">
        <is>
          <t>powdery, heavyFloral</t>
        </is>
      </c>
      <c r="O27" s="5" t="inlineStr">
        <is>
          <t>medium</t>
        </is>
      </c>
      <c r="P27" s="5" t="inlineStr">
        <is>
          <t>high</t>
        </is>
      </c>
      <c r="Q27" s="5" t="inlineStr">
        <is>
          <t>가을·겨울 · 격식</t>
        </is>
      </c>
      <c r="R27" s="5" t="inlineStr">
        <is>
          <t>비누처럼 반짝이는 꽃 향의 클래식</t>
        </is>
      </c>
      <c r="S27" s="5" t="inlineStr">
        <is>
          <t>시간이 지나면 보송한 파우더 느낌이 남아요</t>
        </is>
      </c>
      <c r="T27" s="5" t="inlineStr">
        <is>
          <t>첫 향의 알데하이드가 낯설지 않은지 확인해 보세요</t>
        </is>
      </c>
      <c r="U27" s="6" t="n"/>
      <c r="V27" s="6" t="n"/>
      <c r="W27" s="6" t="n"/>
      <c r="X27" s="6" t="n"/>
      <c r="Y27" s="4" t="inlineStr">
        <is>
          <t>샤넬 뷰티 백화점</t>
        </is>
      </c>
      <c r="Z27" s="6" t="inlineStr">
        <is>
          <t>[확인 필요]</t>
        </is>
      </c>
      <c r="AA27" s="6" t="n"/>
      <c r="AB27" s="6" t="n"/>
      <c r="AC27" s="4" t="inlineStr">
        <is>
          <t>AI 초안 (공식 확인 전)</t>
        </is>
      </c>
      <c r="AD27" s="4" t="inlineStr">
        <is>
          <t>노트·농도 공식 확인 / 국내 정가 / 이미지 / 시향 가능 채널</t>
        </is>
      </c>
    </row>
    <row r="28">
      <c r="A28" s="4" t="inlineStr">
        <is>
          <t>prada-infusion-d-iris</t>
        </is>
      </c>
      <c r="B28" s="4" t="inlineStr">
        <is>
          <t>Prada</t>
        </is>
      </c>
      <c r="C28" s="5" t="inlineStr">
        <is>
          <t>프라다</t>
        </is>
      </c>
      <c r="D28" s="4" t="inlineStr">
        <is>
          <t>Infusion d'Iris</t>
        </is>
      </c>
      <c r="E28" s="5" t="inlineStr">
        <is>
          <t>인퓨전 디리스</t>
        </is>
      </c>
      <c r="F28" s="5" t="inlineStr">
        <is>
          <t>EDP</t>
        </is>
      </c>
      <c r="G28" s="5" t="inlineStr">
        <is>
          <t>Mandarin, Galbanum, Neroli</t>
        </is>
      </c>
      <c r="H28" s="5" t="inlineStr">
        <is>
          <t>Iris</t>
        </is>
      </c>
      <c r="I28" s="5" t="inlineStr">
        <is>
          <t>Benzoin, Vetiver, Cedar, Incense</t>
        </is>
      </c>
      <c r="J28" s="6" t="n"/>
      <c r="K28" s="5" t="inlineStr">
        <is>
          <t>powdery</t>
        </is>
      </c>
      <c r="L28" s="5" t="inlineStr">
        <is>
          <t>green, woody</t>
        </is>
      </c>
      <c r="M28" s="5" t="inlineStr">
        <is>
          <t>calm, soft, elegant</t>
        </is>
      </c>
      <c r="N28" s="5" t="inlineStr">
        <is>
          <t>powdery</t>
        </is>
      </c>
      <c r="O28" s="5" t="inlineStr">
        <is>
          <t>medium</t>
        </is>
      </c>
      <c r="P28" s="5" t="inlineStr">
        <is>
          <t>mid</t>
        </is>
      </c>
      <c r="Q28" s="5" t="inlineStr">
        <is>
          <t>사계절 · 출근</t>
        </is>
      </c>
      <c r="R28" s="5" t="inlineStr">
        <is>
          <t>아이리스의 보송하고 깨끗한 분 향</t>
        </is>
      </c>
      <c r="S28" s="5" t="inlineStr">
        <is>
          <t>시간이 지나면 부드러운 나무와 인센스가 남아요</t>
        </is>
      </c>
      <c r="T28" s="5" t="inlineStr">
        <is>
          <t>보송한 분 느낌이 얼마나 강한지 맡아보세요</t>
        </is>
      </c>
      <c r="U28" s="6" t="n"/>
      <c r="V28" s="6" t="n"/>
      <c r="W28" s="6" t="n"/>
      <c r="X28" s="6" t="n"/>
      <c r="Y28" s="4" t="inlineStr">
        <is>
          <t>프라다 뷰티 백화점</t>
        </is>
      </c>
      <c r="Z28" s="6" t="inlineStr">
        <is>
          <t>[확인 필요]</t>
        </is>
      </c>
      <c r="AA28" s="6" t="n"/>
      <c r="AB28" s="6" t="n"/>
      <c r="AC28" s="4" t="inlineStr">
        <is>
          <t>AI 초안 (공식 확인 전)</t>
        </is>
      </c>
      <c r="AD28" s="4" t="inlineStr">
        <is>
          <t>노트·농도 공식 확인 / 국내 정가 / 이미지 / 시향 가능 채널</t>
        </is>
      </c>
    </row>
    <row r="29">
      <c r="A29" s="4" t="inlineStr">
        <is>
          <t>dior-homme-intense</t>
        </is>
      </c>
      <c r="B29" s="4" t="inlineStr">
        <is>
          <t>Dior</t>
        </is>
      </c>
      <c r="C29" s="5" t="inlineStr">
        <is>
          <t>디올</t>
        </is>
      </c>
      <c r="D29" s="4" t="inlineStr">
        <is>
          <t>Dior Homme Intense</t>
        </is>
      </c>
      <c r="E29" s="5" t="inlineStr">
        <is>
          <t>디올 옴므 앵땅스</t>
        </is>
      </c>
      <c r="F29" s="5" t="inlineStr">
        <is>
          <t>EDP</t>
        </is>
      </c>
      <c r="G29" s="5" t="inlineStr">
        <is>
          <t>Lavender, Pear</t>
        </is>
      </c>
      <c r="H29" s="5" t="inlineStr">
        <is>
          <t>Iris, Ambrette, Cacao</t>
        </is>
      </c>
      <c r="I29" s="5" t="inlineStr">
        <is>
          <t>Cedar, Vetiver</t>
        </is>
      </c>
      <c r="J29" s="6" t="n"/>
      <c r="K29" s="5" t="inlineStr">
        <is>
          <t>powdery</t>
        </is>
      </c>
      <c r="L29" s="5" t="inlineStr">
        <is>
          <t>woody, gourmand</t>
        </is>
      </c>
      <c r="M29" s="5" t="inlineStr">
        <is>
          <t>calm, deep, soft</t>
        </is>
      </c>
      <c r="N29" s="5" t="inlineStr">
        <is>
          <t>powdery</t>
        </is>
      </c>
      <c r="O29" s="5" t="inlineStr">
        <is>
          <t>medium</t>
        </is>
      </c>
      <c r="P29" s="5" t="inlineStr">
        <is>
          <t>mid</t>
        </is>
      </c>
      <c r="Q29" s="5" t="inlineStr">
        <is>
          <t>가을·겨울 · 저녁</t>
        </is>
      </c>
      <c r="R29" s="5" t="inlineStr">
        <is>
          <t>아이리스와 카카오가 어우러진 부드럽고 깊은 향</t>
        </is>
      </c>
      <c r="S29" s="5" t="inlineStr">
        <is>
          <t>몇 시간 뒤엔 차분한 나무 향이 남아요</t>
        </is>
      </c>
      <c r="T29" s="5" t="inlineStr">
        <is>
          <t>아이리스의 분 느낌과 카카오의 달콤함을 맡아보세요</t>
        </is>
      </c>
      <c r="U29" s="6" t="n"/>
      <c r="V29" s="6" t="n"/>
      <c r="W29" s="6" t="n"/>
      <c r="X29" s="6" t="n"/>
      <c r="Y29" s="4" t="inlineStr">
        <is>
          <t>디올 뷰티 백화점</t>
        </is>
      </c>
      <c r="Z29" s="6" t="inlineStr">
        <is>
          <t>[확인 필요]</t>
        </is>
      </c>
      <c r="AA29" s="6" t="n"/>
      <c r="AB29" s="6" t="n"/>
      <c r="AC29" s="4" t="inlineStr">
        <is>
          <t>AI 초안 (공식 확인 전)</t>
        </is>
      </c>
      <c r="AD29" s="4" t="inlineStr">
        <is>
          <t>노트·농도 공식 확인 / 국내 정가 / 이미지 / 시향 가능 채널</t>
        </is>
      </c>
    </row>
    <row r="30">
      <c r="A30" s="4" t="inlineStr">
        <is>
          <t>chloe-edp</t>
        </is>
      </c>
      <c r="B30" s="4" t="inlineStr">
        <is>
          <t>Chloé</t>
        </is>
      </c>
      <c r="C30" s="5" t="inlineStr">
        <is>
          <t>끌로에</t>
        </is>
      </c>
      <c r="D30" s="4" t="inlineStr">
        <is>
          <t>Chloé Eau de Parfum</t>
        </is>
      </c>
      <c r="E30" s="5" t="inlineStr">
        <is>
          <t>끌로에 오 드 퍼퓸</t>
        </is>
      </c>
      <c r="F30" s="5" t="inlineStr">
        <is>
          <t>EDP</t>
        </is>
      </c>
      <c r="G30" s="5" t="inlineStr">
        <is>
          <t>Peony, Lychee, Freesia</t>
        </is>
      </c>
      <c r="H30" s="5" t="inlineStr">
        <is>
          <t>Rose, Lily of the Valley, Magnolia</t>
        </is>
      </c>
      <c r="I30" s="5" t="inlineStr">
        <is>
          <t>Cedar, Amber</t>
        </is>
      </c>
      <c r="J30" s="6" t="n"/>
      <c r="K30" s="5" t="inlineStr">
        <is>
          <t>powdery</t>
        </is>
      </c>
      <c r="L30" s="5" t="inlineStr">
        <is>
          <t>floral</t>
        </is>
      </c>
      <c r="M30" s="5" t="inlineStr">
        <is>
          <t>soft, elegant, calm, lovely</t>
        </is>
      </c>
      <c r="N30" s="5" t="inlineStr">
        <is>
          <t>powdery</t>
        </is>
      </c>
      <c r="O30" s="5" t="inlineStr">
        <is>
          <t>medium</t>
        </is>
      </c>
      <c r="P30" s="5" t="inlineStr">
        <is>
          <t>low</t>
        </is>
      </c>
      <c r="Q30" s="5" t="inlineStr">
        <is>
          <t>봄·가을 · 데일리</t>
        </is>
      </c>
      <c r="R30" s="5" t="inlineStr">
        <is>
          <t>보송한 장미와 작약의 부드러운 꽃 향</t>
        </is>
      </c>
      <c r="S30" s="5" t="inlineStr">
        <is>
          <t>몇 시간 뒤엔 은은한 장미와 나무 향이 남아요</t>
        </is>
      </c>
      <c r="T30" s="5" t="inlineStr">
        <is>
          <t>장미 향이 분 향처럼 느껴지는지 맡아보세요</t>
        </is>
      </c>
      <c r="U30" s="6" t="n"/>
      <c r="V30" s="6" t="n"/>
      <c r="W30" s="6" t="n"/>
      <c r="X30" s="6" t="n"/>
      <c r="Y30" s="4" t="inlineStr">
        <is>
          <t>끌로에 향수 백화점</t>
        </is>
      </c>
      <c r="Z30" s="6" t="inlineStr">
        <is>
          <t>[확인 필요]</t>
        </is>
      </c>
      <c r="AA30" s="6" t="n"/>
      <c r="AB30" s="6" t="n"/>
      <c r="AC30" s="4" t="inlineStr">
        <is>
          <t>AI 초안 (공식 확인 전)</t>
        </is>
      </c>
      <c r="AD30" s="4" t="inlineStr">
        <is>
          <t>노트·농도 공식 확인 / 국내 정가 / 이미지 / 시향 가능 채널</t>
        </is>
      </c>
    </row>
    <row r="31">
      <c r="A31" s="4" t="inlineStr">
        <is>
          <t>byredo-blanche</t>
        </is>
      </c>
      <c r="B31" s="4" t="inlineStr">
        <is>
          <t>Byredo</t>
        </is>
      </c>
      <c r="C31" s="5" t="inlineStr">
        <is>
          <t>바이레도</t>
        </is>
      </c>
      <c r="D31" s="4" t="inlineStr">
        <is>
          <t>Blanche</t>
        </is>
      </c>
      <c r="E31" s="5" t="inlineStr">
        <is>
          <t>블랑쉬</t>
        </is>
      </c>
      <c r="F31" s="5" t="inlineStr">
        <is>
          <t>EDP</t>
        </is>
      </c>
      <c r="G31" s="5" t="inlineStr">
        <is>
          <t>Aldehydes, Pink Pepper</t>
        </is>
      </c>
      <c r="H31" s="5" t="inlineStr">
        <is>
          <t>White Rose, Peony, Violet</t>
        </is>
      </c>
      <c r="I31" s="5" t="inlineStr">
        <is>
          <t>Musk, Sandalwood</t>
        </is>
      </c>
      <c r="J31" s="6" t="n"/>
      <c r="K31" s="5" t="inlineStr">
        <is>
          <t>musk</t>
        </is>
      </c>
      <c r="L31" s="5" t="inlineStr">
        <is>
          <t>floral</t>
        </is>
      </c>
      <c r="M31" s="5" t="inlineStr">
        <is>
          <t>clean, soft, calm</t>
        </is>
      </c>
      <c r="N31" s="5" t="inlineStr"/>
      <c r="O31" s="5" t="inlineStr">
        <is>
          <t>light</t>
        </is>
      </c>
      <c r="P31" s="5" t="inlineStr">
        <is>
          <t>low</t>
        </is>
      </c>
      <c r="Q31" s="5" t="inlineStr">
        <is>
          <t>사계절 · 데일리</t>
        </is>
      </c>
      <c r="R31" s="5" t="inlineStr">
        <is>
          <t>갓 빨아 말린 하얀 시트 같은 깨끗한 향</t>
        </is>
      </c>
      <c r="S31" s="5" t="inlineStr">
        <is>
          <t>몇 시간 뒤엔 보송한 머스크가 피부에 남아요</t>
        </is>
      </c>
      <c r="T31" s="5" t="inlineStr">
        <is>
          <t>깨끗한 비누 느낌이 오래가는지 확인해 보세요</t>
        </is>
      </c>
      <c r="U31" s="6" t="n">
        <v>50</v>
      </c>
      <c r="V31" s="10" t="n">
        <v>305000</v>
      </c>
      <c r="W31" s="6" t="inlineStr">
        <is>
          <t>2026-10-07</t>
        </is>
      </c>
      <c r="X31" s="6" t="inlineStr">
        <is>
          <t>https://www.byredo.com/ko_kr/p/blanche-eau-de-parfum</t>
        </is>
      </c>
      <c r="Y31" s="4" t="inlineStr">
        <is>
          <t>바이레도 백화점</t>
        </is>
      </c>
      <c r="Z31" s="6" t="inlineStr">
        <is>
          <t>[확인 필요]</t>
        </is>
      </c>
      <c r="AA31" s="6" t="inlineStr">
        <is>
          <t>byredo-blanche.jpg</t>
        </is>
      </c>
      <c r="AB31" s="6" t="inlineStr">
        <is>
          <t>https://www.byredo.com/ko_kr/p/blanche-eau-de-parfum</t>
        </is>
      </c>
      <c r="AC31" s="4" t="inlineStr">
        <is>
          <t>AI 초안 (공식 확인 전)</t>
        </is>
      </c>
      <c r="AD31" s="4" t="inlineStr">
        <is>
          <t>노트·농도 공식 확인 / 시향 가능 채널 (가격·이미지는 공식 페이지에서 반영됨)</t>
        </is>
      </c>
    </row>
    <row r="32">
      <c r="A32" s="4" t="inlineStr">
        <is>
          <t>maison-margiela-replica-lazy-sunday-morning</t>
        </is>
      </c>
      <c r="B32" s="4" t="inlineStr">
        <is>
          <t>Maison Margiela</t>
        </is>
      </c>
      <c r="C32" s="5" t="inlineStr">
        <is>
          <t>메종 마르지엘라</t>
        </is>
      </c>
      <c r="D32" s="4" t="inlineStr">
        <is>
          <t>Replica Lazy Sunday Morning</t>
        </is>
      </c>
      <c r="E32" s="5" t="inlineStr">
        <is>
          <t>레플리카 레이지 선데이 모닝</t>
        </is>
      </c>
      <c r="F32" s="5" t="inlineStr">
        <is>
          <t>EDT</t>
        </is>
      </c>
      <c r="G32" s="5" t="inlineStr">
        <is>
          <t>Pear, Lily of the Valley</t>
        </is>
      </c>
      <c r="H32" s="5" t="inlineStr">
        <is>
          <t>Rose, Iris</t>
        </is>
      </c>
      <c r="I32" s="5" t="inlineStr">
        <is>
          <t>White Musk, Patchouli</t>
        </is>
      </c>
      <c r="J32" s="6" t="n"/>
      <c r="K32" s="5" t="inlineStr">
        <is>
          <t>musk</t>
        </is>
      </c>
      <c r="L32" s="5" t="inlineStr">
        <is>
          <t>powdery, fruity</t>
        </is>
      </c>
      <c r="M32" s="5" t="inlineStr">
        <is>
          <t>clean, soft, cozy</t>
        </is>
      </c>
      <c r="N32" s="5" t="inlineStr"/>
      <c r="O32" s="5" t="inlineStr">
        <is>
          <t>light</t>
        </is>
      </c>
      <c r="P32" s="5" t="inlineStr">
        <is>
          <t>low</t>
        </is>
      </c>
      <c r="Q32" s="5" t="inlineStr">
        <is>
          <t>사계절 · 휴일</t>
        </is>
      </c>
      <c r="R32" s="5" t="inlineStr">
        <is>
          <t>햇살 드는 침대 시트 같은 포근하고 깨끗한 향</t>
        </is>
      </c>
      <c r="S32" s="5" t="inlineStr">
        <is>
          <t>시간이 지나면 보송한 머스크가 오래 남아요</t>
        </is>
      </c>
      <c r="T32" s="5" t="inlineStr">
        <is>
          <t>첫 향의 배와 은방울꽃이 머스크로 이어지는지 맡아보세요</t>
        </is>
      </c>
      <c r="U32" s="6" t="n">
        <v>100</v>
      </c>
      <c r="V32" s="10" t="n">
        <v>240000</v>
      </c>
      <c r="W32" s="6" t="inlineStr">
        <is>
          <t>2026-10-07</t>
        </is>
      </c>
      <c r="X32" s="6" t="inlineStr">
        <is>
          <t>https://www.maisonmargiela.com/ko-kr/%EB%A0%88%ED%94%8C%EB%A6%AC%EC%B9%B4-%EB%A0%88%EC%9D%B4%EC%A7%80-%EC%84%A0%EB%8D%B0%EC%9D%B4-%EB%AA%A8%EB%8B%9D-%EC%98%A4-%EB%93%9C-%EB%9A%9C%EC%99%88%EB%A0%9B-S33YX0018S10932001.html</t>
        </is>
      </c>
      <c r="Y32" s="4" t="inlineStr">
        <is>
          <t>메종 마르지엘라 레플리카 백화점</t>
        </is>
      </c>
      <c r="Z32" s="6" t="inlineStr">
        <is>
          <t>[확인 필요]</t>
        </is>
      </c>
      <c r="AA32" s="6" t="inlineStr">
        <is>
          <t>maison-margiela-replica-lazy-sunday-morning.jpg</t>
        </is>
      </c>
      <c r="AB32" s="6" t="inlineStr">
        <is>
          <t>https://www.maisonmargiela.com/ko-kr/%EB%A0%88%ED%94%8C%EB%A6%AC%EC%B9%B4-%EB%A0%88%EC%9D%B4%EC%A7%80-%EC%84%A0%EB%8D%B0%EC%9D%B4-%EB%AA%A8%EB%8B%9D-%EC%98%A4-%EB%93%9C-%EB%9A%9C%EC%99%88%EB%A0%9B-S33YX0018S10932001.html</t>
        </is>
      </c>
      <c r="AC32" s="4" t="inlineStr">
        <is>
          <t>AI 초안 (공식 확인 전)</t>
        </is>
      </c>
      <c r="AD32" s="4" t="inlineStr">
        <is>
          <t>노트·농도 공식 확인 / 시향 가능 채널 (가격·이미지는 공식 페이지에서 반영됨)</t>
        </is>
      </c>
    </row>
    <row r="33">
      <c r="A33" s="4" t="inlineStr">
        <is>
          <t>narciso-rodriguez-for-her-edp</t>
        </is>
      </c>
      <c r="B33" s="4" t="inlineStr">
        <is>
          <t>Narciso Rodriguez</t>
        </is>
      </c>
      <c r="C33" s="5" t="inlineStr">
        <is>
          <t>나르시소 로드리게즈</t>
        </is>
      </c>
      <c r="D33" s="4" t="inlineStr">
        <is>
          <t>For Her Eau de Parfum</t>
        </is>
      </c>
      <c r="E33" s="5" t="inlineStr">
        <is>
          <t>포 허 오 드 퍼퓸</t>
        </is>
      </c>
      <c r="F33" s="5" t="inlineStr">
        <is>
          <t>EDP</t>
        </is>
      </c>
      <c r="G33" s="5" t="inlineStr">
        <is>
          <t>Orange Blossom, Osmanthus</t>
        </is>
      </c>
      <c r="H33" s="5" t="inlineStr">
        <is>
          <t>Rose</t>
        </is>
      </c>
      <c r="I33" s="5" t="inlineStr">
        <is>
          <t>Musk, Amber, Patchouli</t>
        </is>
      </c>
      <c r="J33" s="6" t="n"/>
      <c r="K33" s="5" t="inlineStr">
        <is>
          <t>musk</t>
        </is>
      </c>
      <c r="L33" s="5" t="inlineStr">
        <is>
          <t>floral, amber</t>
        </is>
      </c>
      <c r="M33" s="5" t="inlineStr">
        <is>
          <t>soft, elegant, warm</t>
        </is>
      </c>
      <c r="N33" s="5" t="inlineStr"/>
      <c r="O33" s="5" t="inlineStr">
        <is>
          <t>medium</t>
        </is>
      </c>
      <c r="P33" s="5" t="inlineStr">
        <is>
          <t>mid</t>
        </is>
      </c>
      <c r="Q33" s="5" t="inlineStr">
        <is>
          <t>사계절 · 데이트</t>
        </is>
      </c>
      <c r="R33" s="5" t="inlineStr">
        <is>
          <t>꽃 향이 살결 같은 머스크에 스며든 향</t>
        </is>
      </c>
      <c r="S33" s="5" t="inlineStr">
        <is>
          <t>몇 시간 뒤엔 따뜻한 머스크가 오래 남아요</t>
        </is>
      </c>
      <c r="T33" s="5" t="inlineStr">
        <is>
          <t>머스크가 포근한지 답답한지 손목에서 확인해 보세요</t>
        </is>
      </c>
      <c r="U33" s="6" t="n"/>
      <c r="V33" s="6" t="n"/>
      <c r="W33" s="6" t="n"/>
      <c r="X33" s="6" t="n"/>
      <c r="Y33" s="4" t="inlineStr">
        <is>
          <t>나르시소 로드리게즈 백화점</t>
        </is>
      </c>
      <c r="Z33" s="6" t="inlineStr">
        <is>
          <t>[확인 필요]</t>
        </is>
      </c>
      <c r="AA33" s="6" t="n"/>
      <c r="AB33" s="6" t="n"/>
      <c r="AC33" s="4" t="inlineStr">
        <is>
          <t>AI 초안 (공식 확인 전)</t>
        </is>
      </c>
      <c r="AD33" s="4" t="inlineStr">
        <is>
          <t>노트·농도 공식 확인 / 국내 정가 / 이미지 / 시향 가능 채널</t>
        </is>
      </c>
    </row>
    <row r="34">
      <c r="A34" s="4" t="inlineStr">
        <is>
          <t>diptyque-fleur-de-peau</t>
        </is>
      </c>
      <c r="B34" s="4" t="inlineStr">
        <is>
          <t>Diptyque</t>
        </is>
      </c>
      <c r="C34" s="5" t="inlineStr">
        <is>
          <t>딥티크</t>
        </is>
      </c>
      <c r="D34" s="4" t="inlineStr">
        <is>
          <t>Fleur de Peau</t>
        </is>
      </c>
      <c r="E34" s="5" t="inlineStr">
        <is>
          <t>플뢰르 드 뽀</t>
        </is>
      </c>
      <c r="F34" s="5" t="inlineStr">
        <is>
          <t>EDP</t>
        </is>
      </c>
      <c r="G34" s="5" t="inlineStr">
        <is>
          <t>Bergamot, Pink Pepper</t>
        </is>
      </c>
      <c r="H34" s="5" t="inlineStr">
        <is>
          <t>Iris, Rose</t>
        </is>
      </c>
      <c r="I34" s="5" t="inlineStr">
        <is>
          <t>Ambrette, Musk</t>
        </is>
      </c>
      <c r="J34" s="6" t="n"/>
      <c r="K34" s="5" t="inlineStr">
        <is>
          <t>musk</t>
        </is>
      </c>
      <c r="L34" s="5" t="inlineStr">
        <is>
          <t>powdery</t>
        </is>
      </c>
      <c r="M34" s="5" t="inlineStr">
        <is>
          <t>soft, clean, calm</t>
        </is>
      </c>
      <c r="N34" s="5" t="inlineStr"/>
      <c r="O34" s="5" t="inlineStr">
        <is>
          <t>medium</t>
        </is>
      </c>
      <c r="P34" s="5" t="inlineStr">
        <is>
          <t>mid</t>
        </is>
      </c>
      <c r="Q34" s="5" t="inlineStr">
        <is>
          <t>사계절 · 저녁</t>
        </is>
      </c>
      <c r="R34" s="5" t="inlineStr">
        <is>
          <t>맨살의 온기 같은 보송한 머스크</t>
        </is>
      </c>
      <c r="S34" s="5" t="inlineStr">
        <is>
          <t>시간이 지나면 부드러운 피부 향처럼 남아요</t>
        </is>
      </c>
      <c r="T34" s="5" t="inlineStr">
        <is>
          <t>머스크가 깨끗하게 느껴지는지 맡아보세요</t>
        </is>
      </c>
      <c r="U34" s="6" t="n"/>
      <c r="V34" s="6" t="n"/>
      <c r="W34" s="6" t="n"/>
      <c r="X34" s="6" t="n"/>
      <c r="Y34" s="4" t="inlineStr">
        <is>
          <t>딥티크 백화점</t>
        </is>
      </c>
      <c r="Z34" s="6" t="inlineStr">
        <is>
          <t>[확인 필요]</t>
        </is>
      </c>
      <c r="AA34" s="6" t="n"/>
      <c r="AB34" s="6" t="n"/>
      <c r="AC34" s="4" t="inlineStr">
        <is>
          <t>AI 초안 (공식 확인 전)</t>
        </is>
      </c>
      <c r="AD34" s="4" t="inlineStr">
        <is>
          <t>노트·농도 공식 확인 / 국내 정가 / 이미지 / 시향 가능 채널</t>
        </is>
      </c>
    </row>
    <row r="35">
      <c r="A35" s="4" t="inlineStr">
        <is>
          <t>maison-margiela-replica-beach-walk</t>
        </is>
      </c>
      <c r="B35" s="4" t="inlineStr">
        <is>
          <t>Maison Margiela</t>
        </is>
      </c>
      <c r="C35" s="5" t="inlineStr">
        <is>
          <t>메종 마르지엘라</t>
        </is>
      </c>
      <c r="D35" s="4" t="inlineStr">
        <is>
          <t>Replica Beach Walk</t>
        </is>
      </c>
      <c r="E35" s="5" t="inlineStr">
        <is>
          <t>레플리카 비치 워크</t>
        </is>
      </c>
      <c r="F35" s="5" t="inlineStr">
        <is>
          <t>EDT</t>
        </is>
      </c>
      <c r="G35" s="5" t="inlineStr">
        <is>
          <t>Bergamot, Lemon, Pink Pepper</t>
        </is>
      </c>
      <c r="H35" s="5" t="inlineStr">
        <is>
          <t>Coconut Milk, Heliotrope, Ylang-Ylang</t>
        </is>
      </c>
      <c r="I35" s="5" t="inlineStr">
        <is>
          <t>Musk, Cedar, Benzoin</t>
        </is>
      </c>
      <c r="J35" s="6" t="n"/>
      <c r="K35" s="5" t="inlineStr">
        <is>
          <t>musk</t>
        </is>
      </c>
      <c r="L35" s="5" t="inlineStr">
        <is>
          <t>gourmand, citrus</t>
        </is>
      </c>
      <c r="M35" s="5" t="inlineStr">
        <is>
          <t>fresh, warm, sweet</t>
        </is>
      </c>
      <c r="N35" s="5" t="inlineStr"/>
      <c r="O35" s="5" t="inlineStr">
        <is>
          <t>light</t>
        </is>
      </c>
      <c r="P35" s="5" t="inlineStr">
        <is>
          <t>low</t>
        </is>
      </c>
      <c r="Q35" s="5" t="inlineStr">
        <is>
          <t>여름 · 휴가</t>
        </is>
      </c>
      <c r="R35" s="5" t="inlineStr">
        <is>
          <t>선크림과 코코넛이 어우러진 휴양지 같은 향</t>
        </is>
      </c>
      <c r="S35" s="5" t="inlineStr">
        <is>
          <t>시간이 지나면 부드럽고 달콤한 머스크가 남아요</t>
        </is>
      </c>
      <c r="T35" s="5" t="inlineStr">
        <is>
          <t>첫 향의 시트러스가 코코넛으로 바뀌는 순간을 맡아보세요</t>
        </is>
      </c>
      <c r="U35" s="6" t="n"/>
      <c r="V35" s="6" t="n"/>
      <c r="W35" s="6" t="n"/>
      <c r="X35" s="6" t="n"/>
      <c r="Y35" s="4" t="inlineStr">
        <is>
          <t>메종 마르지엘라 레플리카 백화점</t>
        </is>
      </c>
      <c r="Z35" s="6" t="inlineStr">
        <is>
          <t>[확인 필요]</t>
        </is>
      </c>
      <c r="AA35" s="6" t="n"/>
      <c r="AB35" s="6" t="n"/>
      <c r="AC35" s="4" t="inlineStr">
        <is>
          <t>AI 초안 (공식 확인 전)</t>
        </is>
      </c>
      <c r="AD35" s="4" t="inlineStr">
        <is>
          <t>노트·농도 공식 확인 / 국내 정가 / 이미지 / 시향 가능 채널</t>
        </is>
      </c>
    </row>
    <row r="36">
      <c r="A36" s="4" t="inlineStr">
        <is>
          <t>hermes-terre-d-hermes-edt</t>
        </is>
      </c>
      <c r="B36" s="4" t="inlineStr">
        <is>
          <t>Hermès</t>
        </is>
      </c>
      <c r="C36" s="5" t="inlineStr">
        <is>
          <t>에르메스</t>
        </is>
      </c>
      <c r="D36" s="4" t="inlineStr">
        <is>
          <t>Terre d'Hermès</t>
        </is>
      </c>
      <c r="E36" s="5" t="inlineStr">
        <is>
          <t>테르 데르메스</t>
        </is>
      </c>
      <c r="F36" s="5" t="inlineStr">
        <is>
          <t>EDT</t>
        </is>
      </c>
      <c r="G36" s="5" t="inlineStr">
        <is>
          <t>Orange, Grapefruit</t>
        </is>
      </c>
      <c r="H36" s="5" t="inlineStr">
        <is>
          <t>Pepper, Geranium, Flint</t>
        </is>
      </c>
      <c r="I36" s="5" t="inlineStr">
        <is>
          <t>Vetiver, Patchouli, Benzoin, Cedar</t>
        </is>
      </c>
      <c r="J36" s="6" t="n"/>
      <c r="K36" s="5" t="inlineStr">
        <is>
          <t>spicy</t>
        </is>
      </c>
      <c r="L36" s="5" t="inlineStr">
        <is>
          <t>woody, citrus</t>
        </is>
      </c>
      <c r="M36" s="5" t="inlineStr">
        <is>
          <t>deep, calm, warm</t>
        </is>
      </c>
      <c r="N36" s="5" t="inlineStr"/>
      <c r="O36" s="5" t="inlineStr">
        <is>
          <t>medium</t>
        </is>
      </c>
      <c r="P36" s="5" t="inlineStr">
        <is>
          <t>mid</t>
        </is>
      </c>
      <c r="Q36" s="5" t="inlineStr">
        <is>
          <t>사계절 · 출근</t>
        </is>
      </c>
      <c r="R36" s="5" t="inlineStr">
        <is>
          <t>오렌지와 후추, 흙냄새 나는 나무 향이 어우러진 향</t>
        </is>
      </c>
      <c r="S36" s="5" t="inlineStr">
        <is>
          <t>몇 시간 뒤엔 차분한 베티버와 나무 향이 남아요</t>
        </is>
      </c>
      <c r="T36" s="5" t="inlineStr">
        <is>
          <t>첫 향의 후추와 광물 느낌이 낯설지 않은지 확인해 보세요</t>
        </is>
      </c>
      <c r="U36" s="6" t="n"/>
      <c r="V36" s="6" t="n"/>
      <c r="W36" s="6" t="n"/>
      <c r="X36" s="6" t="n"/>
      <c r="Y36" s="4" t="inlineStr">
        <is>
          <t>에르메스 뷰티 백화점</t>
        </is>
      </c>
      <c r="Z36" s="6" t="inlineStr">
        <is>
          <t>[확인 필요]</t>
        </is>
      </c>
      <c r="AA36" s="6" t="n"/>
      <c r="AB36" s="6" t="n"/>
      <c r="AC36" s="4" t="inlineStr">
        <is>
          <t>AI 초안 (공식 확인 전)</t>
        </is>
      </c>
      <c r="AD36" s="4" t="inlineStr">
        <is>
          <t>노트·농도 공식 확인 / 국내 정가 / 이미지 / 시향 가능 채널</t>
        </is>
      </c>
    </row>
    <row r="37">
      <c r="A37" s="4" t="inlineStr">
        <is>
          <t>hermes-twilly-d-hermes</t>
        </is>
      </c>
      <c r="B37" s="4" t="inlineStr">
        <is>
          <t>Hermès</t>
        </is>
      </c>
      <c r="C37" s="5" t="inlineStr">
        <is>
          <t>에르메스</t>
        </is>
      </c>
      <c r="D37" s="4" t="inlineStr">
        <is>
          <t>Twilly d'Hermès</t>
        </is>
      </c>
      <c r="E37" s="5" t="inlineStr">
        <is>
          <t>트윌리 데르메스</t>
        </is>
      </c>
      <c r="F37" s="5" t="inlineStr">
        <is>
          <t>EDP</t>
        </is>
      </c>
      <c r="G37" s="5" t="inlineStr">
        <is>
          <t>Ginger</t>
        </is>
      </c>
      <c r="H37" s="5" t="inlineStr">
        <is>
          <t>Tuberose</t>
        </is>
      </c>
      <c r="I37" s="5" t="inlineStr">
        <is>
          <t>Sandalwood</t>
        </is>
      </c>
      <c r="J37" s="6" t="n"/>
      <c r="K37" s="5" t="inlineStr">
        <is>
          <t>spicy</t>
        </is>
      </c>
      <c r="L37" s="5" t="inlineStr">
        <is>
          <t>whiteFloral, woody</t>
        </is>
      </c>
      <c r="M37" s="5" t="inlineStr">
        <is>
          <t>warm, elegant, fresh</t>
        </is>
      </c>
      <c r="N37" s="5" t="inlineStr"/>
      <c r="O37" s="5" t="inlineStr">
        <is>
          <t>medium</t>
        </is>
      </c>
      <c r="P37" s="5" t="inlineStr">
        <is>
          <t>mid</t>
        </is>
      </c>
      <c r="Q37" s="5" t="inlineStr">
        <is>
          <t>사계절 · 데일리</t>
        </is>
      </c>
      <c r="R37" s="5" t="inlineStr">
        <is>
          <t>톡 쏘는 생강과 하얀 꽃이 만난 발랄한 향</t>
        </is>
      </c>
      <c r="S37" s="5" t="inlineStr">
        <is>
          <t>시간이 지나면 부드러운 샌달우드가 남아요</t>
        </is>
      </c>
      <c r="T37" s="5" t="inlineStr">
        <is>
          <t>생강의 알싸함과 꽃 향의 조화를 맡아보세요</t>
        </is>
      </c>
      <c r="U37" s="6" t="n"/>
      <c r="V37" s="6" t="n"/>
      <c r="W37" s="6" t="n"/>
      <c r="X37" s="6" t="n"/>
      <c r="Y37" s="4" t="inlineStr">
        <is>
          <t>에르메스 뷰티 백화점</t>
        </is>
      </c>
      <c r="Z37" s="6" t="inlineStr">
        <is>
          <t>[확인 필요]</t>
        </is>
      </c>
      <c r="AA37" s="6" t="n"/>
      <c r="AB37" s="6" t="n"/>
      <c r="AC37" s="4" t="inlineStr">
        <is>
          <t>AI 초안 (공식 확인 전)</t>
        </is>
      </c>
      <c r="AD37" s="4" t="inlineStr">
        <is>
          <t>노트·농도 공식 확인 / 국내 정가 / 이미지 / 시향 가능 채널</t>
        </is>
      </c>
    </row>
    <row r="38">
      <c r="A38" s="4" t="inlineStr">
        <is>
          <t>le-labo-santal-33</t>
        </is>
      </c>
      <c r="B38" s="4" t="inlineStr">
        <is>
          <t>Le Labo</t>
        </is>
      </c>
      <c r="C38" s="5" t="inlineStr">
        <is>
          <t>르 라보</t>
        </is>
      </c>
      <c r="D38" s="4" t="inlineStr">
        <is>
          <t>Santal 33</t>
        </is>
      </c>
      <c r="E38" s="5" t="inlineStr">
        <is>
          <t>상탈 33</t>
        </is>
      </c>
      <c r="F38" s="5" t="inlineStr">
        <is>
          <t>EDP</t>
        </is>
      </c>
      <c r="G38" s="5" t="inlineStr">
        <is>
          <t>Cardamom, Violet</t>
        </is>
      </c>
      <c r="H38" s="5" t="inlineStr">
        <is>
          <t>Iris, Papyrus</t>
        </is>
      </c>
      <c r="I38" s="5" t="inlineStr">
        <is>
          <t>Sandalwood, Cedar, Leather, Ambroxan</t>
        </is>
      </c>
      <c r="J38" s="6" t="n"/>
      <c r="K38" s="5" t="inlineStr">
        <is>
          <t>woody</t>
        </is>
      </c>
      <c r="L38" s="5" t="inlineStr">
        <is>
          <t>leather, spicy</t>
        </is>
      </c>
      <c r="M38" s="5" t="inlineStr">
        <is>
          <t>deep, calm, warm, sensual</t>
        </is>
      </c>
      <c r="N38" s="5" t="inlineStr">
        <is>
          <t>tooStrong</t>
        </is>
      </c>
      <c r="O38" s="5" t="inlineStr">
        <is>
          <t>strong</t>
        </is>
      </c>
      <c r="P38" s="5" t="inlineStr">
        <is>
          <t>high</t>
        </is>
      </c>
      <c r="Q38" s="5" t="inlineStr">
        <is>
          <t>가을·겨울 · 저녁</t>
        </is>
      </c>
      <c r="R38" s="5" t="inlineStr">
        <is>
          <t>가죽과 샌달우드가 어우러진 진하고 건조한 나무 향</t>
        </is>
      </c>
      <c r="S38" s="5" t="inlineStr">
        <is>
          <t>시간이 지나도 나무와 가죽 향이 오래 남아요</t>
        </is>
      </c>
      <c r="T38" s="5" t="inlineStr">
        <is>
          <t>향이 진하니 한 번만 뿌려 시간이 지나며 변화를 확인해 보세요</t>
        </is>
      </c>
      <c r="U38" s="6" t="n">
        <v>50</v>
      </c>
      <c r="V38" s="10" t="n">
        <v>319000</v>
      </c>
      <c r="W38" s="6" t="inlineStr">
        <is>
          <t>2026-10-07</t>
        </is>
      </c>
      <c r="X38" s="6" t="inlineStr">
        <is>
          <t>https://www.lelabofragrances.co.kr/santal-33-987.html</t>
        </is>
      </c>
      <c r="Y38" s="4" t="inlineStr">
        <is>
          <t>르 라보 백화점</t>
        </is>
      </c>
      <c r="Z38" s="6" t="inlineStr">
        <is>
          <t>[확인 필요]</t>
        </is>
      </c>
      <c r="AA38" s="6" t="inlineStr">
        <is>
          <t>le-labo-santal-33.jpg</t>
        </is>
      </c>
      <c r="AB38" s="6" t="inlineStr">
        <is>
          <t>https://www.lelabofragrances.co.kr/santal-33-987.html</t>
        </is>
      </c>
      <c r="AC38" s="4" t="inlineStr">
        <is>
          <t>AI 초안 (공식 확인 전)</t>
        </is>
      </c>
      <c r="AD38" s="4" t="inlineStr">
        <is>
          <t>노트·농도 공식 확인 / 시향 가능 채널 (가격·이미지는 공식 페이지에서 반영됨)</t>
        </is>
      </c>
    </row>
    <row r="39">
      <c r="A39" s="4" t="inlineStr">
        <is>
          <t>diptyque-tam-dao</t>
        </is>
      </c>
      <c r="B39" s="4" t="inlineStr">
        <is>
          <t>Diptyque</t>
        </is>
      </c>
      <c r="C39" s="5" t="inlineStr">
        <is>
          <t>딥티크</t>
        </is>
      </c>
      <c r="D39" s="4" t="inlineStr">
        <is>
          <t>Tam Dao</t>
        </is>
      </c>
      <c r="E39" s="5" t="inlineStr">
        <is>
          <t>탐 다오</t>
        </is>
      </c>
      <c r="F39" s="5" t="inlineStr">
        <is>
          <t>EDP</t>
        </is>
      </c>
      <c r="G39" s="5" t="inlineStr">
        <is>
          <t>Cypress, Rosewood</t>
        </is>
      </c>
      <c r="H39" s="5" t="inlineStr">
        <is>
          <t>Sandalwood</t>
        </is>
      </c>
      <c r="I39" s="5" t="inlineStr">
        <is>
          <t>Cedar, Amber</t>
        </is>
      </c>
      <c r="J39" s="6" t="n"/>
      <c r="K39" s="5" t="inlineStr">
        <is>
          <t>woody</t>
        </is>
      </c>
      <c r="L39" s="5" t="inlineStr">
        <is>
          <t>amber</t>
        </is>
      </c>
      <c r="M39" s="5" t="inlineStr">
        <is>
          <t>calm, cozy, deep</t>
        </is>
      </c>
      <c r="N39" s="5" t="inlineStr"/>
      <c r="O39" s="5" t="inlineStr">
        <is>
          <t>medium</t>
        </is>
      </c>
      <c r="P39" s="5" t="inlineStr">
        <is>
          <t>low</t>
        </is>
      </c>
      <c r="Q39" s="5" t="inlineStr">
        <is>
          <t>가을·겨울 · 휴식</t>
        </is>
      </c>
      <c r="R39" s="5" t="inlineStr">
        <is>
          <t>숲속 오두막 같은 포근한 샌달우드 향</t>
        </is>
      </c>
      <c r="S39" s="5" t="inlineStr">
        <is>
          <t>시간이 지나면 부드러운 나무 향이 따뜻하게 남아요</t>
        </is>
      </c>
      <c r="T39" s="5" t="inlineStr">
        <is>
          <t>첫 향의 사이프러스가 샌달우드로 바뀌는 흐름을 맡아보세요</t>
        </is>
      </c>
      <c r="U39" s="6" t="n"/>
      <c r="V39" s="6" t="n"/>
      <c r="W39" s="6" t="n"/>
      <c r="X39" s="6" t="n"/>
      <c r="Y39" s="4" t="inlineStr">
        <is>
          <t>딥티크 백화점</t>
        </is>
      </c>
      <c r="Z39" s="6" t="inlineStr">
        <is>
          <t>[확인 필요]</t>
        </is>
      </c>
      <c r="AA39" s="6" t="n"/>
      <c r="AB39" s="6" t="n"/>
      <c r="AC39" s="4" t="inlineStr">
        <is>
          <t>AI 초안 (공식 확인 전)</t>
        </is>
      </c>
      <c r="AD39" s="4" t="inlineStr">
        <is>
          <t>노트·농도 공식 확인 / 국내 정가 / 이미지 / 시향 가능 채널</t>
        </is>
      </c>
    </row>
    <row r="40">
      <c r="A40" s="4" t="inlineStr">
        <is>
          <t>tom-ford-oud-wood</t>
        </is>
      </c>
      <c r="B40" s="4" t="inlineStr">
        <is>
          <t>Tom Ford</t>
        </is>
      </c>
      <c r="C40" s="5" t="inlineStr">
        <is>
          <t>톰 포드</t>
        </is>
      </c>
      <c r="D40" s="4" t="inlineStr">
        <is>
          <t>Oud Wood</t>
        </is>
      </c>
      <c r="E40" s="5" t="inlineStr">
        <is>
          <t>우드 우드</t>
        </is>
      </c>
      <c r="F40" s="5" t="inlineStr">
        <is>
          <t>EDP</t>
        </is>
      </c>
      <c r="G40" s="5" t="inlineStr">
        <is>
          <t>Rosewood, Cardamom, Pepper</t>
        </is>
      </c>
      <c r="H40" s="5" t="inlineStr">
        <is>
          <t>Oud, Sandalwood</t>
        </is>
      </c>
      <c r="I40" s="5" t="inlineStr">
        <is>
          <t>Vetiver, Tonka Bean, Amber</t>
        </is>
      </c>
      <c r="J40" s="6" t="n"/>
      <c r="K40" s="5" t="inlineStr">
        <is>
          <t>woody</t>
        </is>
      </c>
      <c r="L40" s="5" t="inlineStr">
        <is>
          <t>spicy, amber</t>
        </is>
      </c>
      <c r="M40" s="5" t="inlineStr">
        <is>
          <t>deep, warm, elegant, sensual</t>
        </is>
      </c>
      <c r="N40" s="5" t="inlineStr">
        <is>
          <t>tooStrong</t>
        </is>
      </c>
      <c r="O40" s="5" t="inlineStr">
        <is>
          <t>strong</t>
        </is>
      </c>
      <c r="P40" s="5" t="inlineStr">
        <is>
          <t>high</t>
        </is>
      </c>
      <c r="Q40" s="5" t="inlineStr">
        <is>
          <t>가을·겨울 · 저녁</t>
        </is>
      </c>
      <c r="R40" s="5" t="inlineStr">
        <is>
          <t>고급스럽고 진한 침향과 샌달우드 향</t>
        </is>
      </c>
      <c r="S40" s="5" t="inlineStr">
        <is>
          <t>시간이 지나도 우디한 향이 오래 남아요</t>
        </is>
      </c>
      <c r="T40" s="5" t="inlineStr">
        <is>
          <t>우드 향의 진함이 부담스러운지 확인해 보세요</t>
        </is>
      </c>
      <c r="U40" s="6" t="n"/>
      <c r="V40" s="6" t="n"/>
      <c r="W40" s="6" t="n"/>
      <c r="X40" s="6" t="n"/>
      <c r="Y40" s="4" t="inlineStr">
        <is>
          <t>톰 포드 뷰티 백화점</t>
        </is>
      </c>
      <c r="Z40" s="6" t="inlineStr">
        <is>
          <t>[확인 필요]</t>
        </is>
      </c>
      <c r="AA40" s="6" t="n"/>
      <c r="AB40" s="6" t="n"/>
      <c r="AC40" s="4" t="inlineStr">
        <is>
          <t>AI 초안 (공식 확인 전)</t>
        </is>
      </c>
      <c r="AD40" s="4" t="inlineStr">
        <is>
          <t>노트·농도 공식 확인 / 국내 정가 / 이미지 / 시향 가능 채널</t>
        </is>
      </c>
    </row>
    <row r="41">
      <c r="A41" s="4" t="inlineStr">
        <is>
          <t>byredo-gypsy-water</t>
        </is>
      </c>
      <c r="B41" s="4" t="inlineStr">
        <is>
          <t>Byredo</t>
        </is>
      </c>
      <c r="C41" s="5" t="inlineStr">
        <is>
          <t>바이레도</t>
        </is>
      </c>
      <c r="D41" s="4" t="inlineStr">
        <is>
          <t>Gypsy Water</t>
        </is>
      </c>
      <c r="E41" s="5" t="inlineStr">
        <is>
          <t>집시 워터</t>
        </is>
      </c>
      <c r="F41" s="5" t="inlineStr">
        <is>
          <t>EDP</t>
        </is>
      </c>
      <c r="G41" s="5" t="inlineStr">
        <is>
          <t>Bergamot, Lemon, Pepper, Juniper Berries</t>
        </is>
      </c>
      <c r="H41" s="5" t="inlineStr">
        <is>
          <t>Incense, Pine Needles, Iris</t>
        </is>
      </c>
      <c r="I41" s="5" t="inlineStr">
        <is>
          <t>Amber, Vanilla, Sandalwood</t>
        </is>
      </c>
      <c r="J41" s="6" t="n"/>
      <c r="K41" s="5" t="inlineStr">
        <is>
          <t>woody</t>
        </is>
      </c>
      <c r="L41" s="5" t="inlineStr">
        <is>
          <t>aromatic, amber</t>
        </is>
      </c>
      <c r="M41" s="5" t="inlineStr">
        <is>
          <t>calm, cozy, soft</t>
        </is>
      </c>
      <c r="N41" s="5" t="inlineStr"/>
      <c r="O41" s="5" t="inlineStr">
        <is>
          <t>medium</t>
        </is>
      </c>
      <c r="P41" s="5" t="inlineStr">
        <is>
          <t>low</t>
        </is>
      </c>
      <c r="Q41" s="5" t="inlineStr">
        <is>
          <t>사계절 · 산책</t>
        </is>
      </c>
      <c r="R41" s="5" t="inlineStr">
        <is>
          <t>소나무 숲과 모닥불 같은 포근하고 상쾌한 향</t>
        </is>
      </c>
      <c r="S41" s="5" t="inlineStr">
        <is>
          <t>시간이 지나면 부드러운 바닐라와 나무 향이 남아요</t>
        </is>
      </c>
      <c r="T41" s="5" t="inlineStr">
        <is>
          <t>솔잎의 상쾌함이 바닐라로 이어지는지 맡아보세요</t>
        </is>
      </c>
      <c r="U41" s="6" t="n">
        <v>50</v>
      </c>
      <c r="V41" s="10" t="n">
        <v>305000</v>
      </c>
      <c r="W41" s="6" t="inlineStr">
        <is>
          <t>2026-10-07</t>
        </is>
      </c>
      <c r="X41" s="6" t="inlineStr">
        <is>
          <t>https://www.byredo.com/ko_kr/p/gypsy-water-eau-de-parfum</t>
        </is>
      </c>
      <c r="Y41" s="4" t="inlineStr">
        <is>
          <t>바이레도 백화점</t>
        </is>
      </c>
      <c r="Z41" s="6" t="inlineStr">
        <is>
          <t>[확인 필요]</t>
        </is>
      </c>
      <c r="AA41" s="6" t="inlineStr">
        <is>
          <t>byredo-gypsy-water.jpg</t>
        </is>
      </c>
      <c r="AB41" s="6" t="inlineStr">
        <is>
          <t>https://www.byredo.com/ko_kr/p/gypsy-water-eau-de-parfum</t>
        </is>
      </c>
      <c r="AC41" s="4" t="inlineStr">
        <is>
          <t>AI 초안 (공식 확인 전)</t>
        </is>
      </c>
      <c r="AD41" s="4" t="inlineStr">
        <is>
          <t>노트·농도 공식 확인 / 시향 가능 채널 (가격·이미지는 공식 페이지에서 반영됨)</t>
        </is>
      </c>
    </row>
    <row r="42">
      <c r="A42" s="4" t="inlineStr">
        <is>
          <t>mfk-baccarat-rouge-540</t>
        </is>
      </c>
      <c r="B42" s="4" t="inlineStr">
        <is>
          <t>Maison Francis Kurkdjian</t>
        </is>
      </c>
      <c r="C42" s="5" t="inlineStr">
        <is>
          <t>메종 프란시스 커정</t>
        </is>
      </c>
      <c r="D42" s="4" t="inlineStr">
        <is>
          <t>Baccarat Rouge 540</t>
        </is>
      </c>
      <c r="E42" s="5" t="inlineStr">
        <is>
          <t>바카라 루쥬 540</t>
        </is>
      </c>
      <c r="F42" s="5" t="inlineStr">
        <is>
          <t>EDP</t>
        </is>
      </c>
      <c r="G42" s="5" t="inlineStr">
        <is>
          <t>Saffron, Jasmine</t>
        </is>
      </c>
      <c r="H42" s="5" t="inlineStr">
        <is>
          <t>Amberwood, Ambergris</t>
        </is>
      </c>
      <c r="I42" s="5" t="inlineStr">
        <is>
          <t>Fir Resin, Cedar</t>
        </is>
      </c>
      <c r="J42" s="6" t="n"/>
      <c r="K42" s="5" t="inlineStr">
        <is>
          <t>amber</t>
        </is>
      </c>
      <c r="L42" s="5" t="inlineStr">
        <is>
          <t>woody, whiteFloral</t>
        </is>
      </c>
      <c r="M42" s="5" t="inlineStr">
        <is>
          <t>warm, elegant, sweet, sensual</t>
        </is>
      </c>
      <c r="N42" s="5" t="inlineStr">
        <is>
          <t>tooSweet</t>
        </is>
      </c>
      <c r="O42" s="5" t="inlineStr">
        <is>
          <t>strong</t>
        </is>
      </c>
      <c r="P42" s="5" t="inlineStr">
        <is>
          <t>mid</t>
        </is>
      </c>
      <c r="Q42" s="5" t="inlineStr">
        <is>
          <t>가을·겨울 · 저녁</t>
        </is>
      </c>
      <c r="R42" s="5" t="inlineStr">
        <is>
          <t>설탕을 녹인 듯 달콤하고 따뜻한 앰버 향</t>
        </is>
      </c>
      <c r="S42" s="5" t="inlineStr">
        <is>
          <t>시간이 지나도 달콤한 앰버가 옷에 오래 남아요</t>
        </is>
      </c>
      <c r="T42" s="5" t="inlineStr">
        <is>
          <t>달콤함이 부담스럽지 않은지 확인해 보세요</t>
        </is>
      </c>
      <c r="U42" s="6" t="n"/>
      <c r="V42" s="6" t="n"/>
      <c r="W42" s="6" t="n"/>
      <c r="X42" s="6" t="n"/>
      <c r="Y42" s="4" t="inlineStr">
        <is>
          <t>메종 프란시스 커정 백화점</t>
        </is>
      </c>
      <c r="Z42" s="6" t="inlineStr">
        <is>
          <t>[확인 필요]</t>
        </is>
      </c>
      <c r="AA42" s="6" t="n"/>
      <c r="AB42" s="6" t="n"/>
      <c r="AC42" s="4" t="inlineStr">
        <is>
          <t>AI 초안 (공식 확인 전)</t>
        </is>
      </c>
      <c r="AD42" s="4" t="inlineStr">
        <is>
          <t>노트·농도 공식 확인 / 국내 정가 / 이미지 / 시향 가능 채널</t>
        </is>
      </c>
    </row>
    <row r="43">
      <c r="A43" s="4" t="inlineStr">
        <is>
          <t>guerlain-shalimar-edp</t>
        </is>
      </c>
      <c r="B43" s="4" t="inlineStr">
        <is>
          <t>Guerlain</t>
        </is>
      </c>
      <c r="C43" s="5" t="inlineStr">
        <is>
          <t>겔랑</t>
        </is>
      </c>
      <c r="D43" s="4" t="inlineStr">
        <is>
          <t>Shalimar</t>
        </is>
      </c>
      <c r="E43" s="5" t="inlineStr">
        <is>
          <t>샬리마르</t>
        </is>
      </c>
      <c r="F43" s="5" t="inlineStr">
        <is>
          <t>EDP</t>
        </is>
      </c>
      <c r="G43" s="5" t="inlineStr">
        <is>
          <t>Bergamot, Lemon, Mandarin</t>
        </is>
      </c>
      <c r="H43" s="5" t="inlineStr">
        <is>
          <t>Iris, Jasmine, Rose</t>
        </is>
      </c>
      <c r="I43" s="5" t="inlineStr">
        <is>
          <t>Vanilla, Tonka Bean, Incense</t>
        </is>
      </c>
      <c r="J43" s="6" t="n"/>
      <c r="K43" s="5" t="inlineStr">
        <is>
          <t>amber</t>
        </is>
      </c>
      <c r="L43" s="5" t="inlineStr">
        <is>
          <t>gourmand, leather</t>
        </is>
      </c>
      <c r="M43" s="5" t="inlineStr">
        <is>
          <t>warm, deep, elegant, sensual</t>
        </is>
      </c>
      <c r="N43" s="5" t="inlineStr">
        <is>
          <t>tooStrong</t>
        </is>
      </c>
      <c r="O43" s="5" t="inlineStr">
        <is>
          <t>strong</t>
        </is>
      </c>
      <c r="P43" s="5" t="inlineStr">
        <is>
          <t>high</t>
        </is>
      </c>
      <c r="Q43" s="5" t="inlineStr">
        <is>
          <t>가을·겨울 · 저녁</t>
        </is>
      </c>
      <c r="R43" s="5" t="inlineStr">
        <is>
          <t>바닐라와 인센스가 어우러진 고전적이고 진한 향</t>
        </is>
      </c>
      <c r="S43" s="5" t="inlineStr">
        <is>
          <t>시간이 지나도 달콤한 바닐라 향이 길게 남아요</t>
        </is>
      </c>
      <c r="T43" s="5" t="inlineStr">
        <is>
          <t>향이 진하니 잔향까지 충분히 맡아보세요</t>
        </is>
      </c>
      <c r="U43" s="6" t="n"/>
      <c r="V43" s="6" t="n"/>
      <c r="W43" s="6" t="n"/>
      <c r="X43" s="6" t="n"/>
      <c r="Y43" s="4" t="inlineStr">
        <is>
          <t>겔랑 향수 백화점</t>
        </is>
      </c>
      <c r="Z43" s="6" t="inlineStr">
        <is>
          <t>[확인 필요]</t>
        </is>
      </c>
      <c r="AA43" s="6" t="n"/>
      <c r="AB43" s="6" t="n"/>
      <c r="AC43" s="4" t="inlineStr">
        <is>
          <t>AI 초안 (공식 확인 전)</t>
        </is>
      </c>
      <c r="AD43" s="4" t="inlineStr">
        <is>
          <t>노트·농도 공식 확인 / 국내 정가 / 이미지 / 시향 가능 채널</t>
        </is>
      </c>
    </row>
    <row r="44">
      <c r="A44" s="4" t="inlineStr">
        <is>
          <t>ysl-libre-edp</t>
        </is>
      </c>
      <c r="B44" s="4" t="inlineStr">
        <is>
          <t>Yves Saint Laurent</t>
        </is>
      </c>
      <c r="C44" s="5" t="inlineStr">
        <is>
          <t>입생로랑</t>
        </is>
      </c>
      <c r="D44" s="4" t="inlineStr">
        <is>
          <t>Libre Eau de Parfum</t>
        </is>
      </c>
      <c r="E44" s="5" t="inlineStr">
        <is>
          <t>리브르 오 드 퍼퓸</t>
        </is>
      </c>
      <c r="F44" s="5" t="inlineStr">
        <is>
          <t>EDP</t>
        </is>
      </c>
      <c r="G44" s="5" t="inlineStr">
        <is>
          <t>Mandarin, Blackcurrant</t>
        </is>
      </c>
      <c r="H44" s="5" t="inlineStr">
        <is>
          <t>Lavender, Orange Blossom, Jasmine</t>
        </is>
      </c>
      <c r="I44" s="5" t="inlineStr">
        <is>
          <t>Vanilla, Musk, Cedar</t>
        </is>
      </c>
      <c r="J44" s="6" t="n"/>
      <c r="K44" s="5" t="inlineStr">
        <is>
          <t>amber</t>
        </is>
      </c>
      <c r="L44" s="5" t="inlineStr">
        <is>
          <t>aromatic, whiteFloral</t>
        </is>
      </c>
      <c r="M44" s="5" t="inlineStr">
        <is>
          <t>warm, elegant, soft</t>
        </is>
      </c>
      <c r="N44" s="5" t="inlineStr"/>
      <c r="O44" s="5" t="inlineStr">
        <is>
          <t>medium</t>
        </is>
      </c>
      <c r="P44" s="5" t="inlineStr">
        <is>
          <t>mid</t>
        </is>
      </c>
      <c r="Q44" s="5" t="inlineStr">
        <is>
          <t>사계절 · 데이트</t>
        </is>
      </c>
      <c r="R44" s="5" t="inlineStr">
        <is>
          <t>라벤더와 오렌지 꽃에 바닐라가 더해진 따뜻한 향</t>
        </is>
      </c>
      <c r="S44" s="5" t="inlineStr">
        <is>
          <t>시간이 지나면 부드러운 바닐라와 머스크가 남아요</t>
        </is>
      </c>
      <c r="T44" s="5" t="inlineStr">
        <is>
          <t>라벤더와 바닐라가 어우러지는 흐름을 맡아보세요</t>
        </is>
      </c>
      <c r="U44" s="6" t="n"/>
      <c r="V44" s="6" t="n"/>
      <c r="W44" s="6" t="n"/>
      <c r="X44" s="6" t="n"/>
      <c r="Y44" s="4" t="inlineStr">
        <is>
          <t>입생로랑 뷰티 백화점</t>
        </is>
      </c>
      <c r="Z44" s="6" t="inlineStr">
        <is>
          <t>[확인 필요]</t>
        </is>
      </c>
      <c r="AA44" s="6" t="n"/>
      <c r="AB44" s="6" t="n"/>
      <c r="AC44" s="4" t="inlineStr">
        <is>
          <t>AI 초안 (공식 확인 전)</t>
        </is>
      </c>
      <c r="AD44" s="4" t="inlineStr">
        <is>
          <t>노트·농도 공식 확인 / 국내 정가 / 이미지 / 시향 가능 채널</t>
        </is>
      </c>
    </row>
    <row r="45">
      <c r="A45" s="4" t="inlineStr">
        <is>
          <t>ysl-black-opium</t>
        </is>
      </c>
      <c r="B45" s="4" t="inlineStr">
        <is>
          <t>Yves Saint Laurent</t>
        </is>
      </c>
      <c r="C45" s="5" t="inlineStr">
        <is>
          <t>입생로랑</t>
        </is>
      </c>
      <c r="D45" s="4" t="inlineStr">
        <is>
          <t>Black Opium</t>
        </is>
      </c>
      <c r="E45" s="5" t="inlineStr">
        <is>
          <t>블랙 오피움</t>
        </is>
      </c>
      <c r="F45" s="5" t="inlineStr">
        <is>
          <t>EDP</t>
        </is>
      </c>
      <c r="G45" s="5" t="inlineStr">
        <is>
          <t>Pear, Pink Pepper, Orange Blossom</t>
        </is>
      </c>
      <c r="H45" s="5" t="inlineStr">
        <is>
          <t>Coffee, Jasmine</t>
        </is>
      </c>
      <c r="I45" s="5" t="inlineStr">
        <is>
          <t>Vanilla, Cedar, Patchouli</t>
        </is>
      </c>
      <c r="J45" s="6" t="n"/>
      <c r="K45" s="5" t="inlineStr">
        <is>
          <t>gourmand</t>
        </is>
      </c>
      <c r="L45" s="5" t="inlineStr">
        <is>
          <t>spicy, amber</t>
        </is>
      </c>
      <c r="M45" s="5" t="inlineStr">
        <is>
          <t>sweet, deep, warm, sensual</t>
        </is>
      </c>
      <c r="N45" s="5" t="inlineStr">
        <is>
          <t>tooSweet, tooStrong</t>
        </is>
      </c>
      <c r="O45" s="5" t="inlineStr">
        <is>
          <t>strong</t>
        </is>
      </c>
      <c r="P45" s="5" t="inlineStr">
        <is>
          <t>mid</t>
        </is>
      </c>
      <c r="Q45" s="5" t="inlineStr">
        <is>
          <t>가을·겨울 · 저녁</t>
        </is>
      </c>
      <c r="R45" s="5" t="inlineStr">
        <is>
          <t>달콤한 바닐라와 진한 커피가 만난 향</t>
        </is>
      </c>
      <c r="S45" s="5" t="inlineStr">
        <is>
          <t>시간이 지나도 달콤한 바닐라 향이 오래 남아요</t>
        </is>
      </c>
      <c r="T45" s="5" t="inlineStr">
        <is>
          <t>커피와 바닐라의 달콤함이 부담스럽지 않은지 확인해 보세요</t>
        </is>
      </c>
      <c r="U45" s="6" t="n"/>
      <c r="V45" s="6" t="n"/>
      <c r="W45" s="6" t="n"/>
      <c r="X45" s="6" t="n"/>
      <c r="Y45" s="4" t="inlineStr">
        <is>
          <t>입생로랑 뷰티 백화점</t>
        </is>
      </c>
      <c r="Z45" s="6" t="inlineStr">
        <is>
          <t>[확인 필요]</t>
        </is>
      </c>
      <c r="AA45" s="6" t="n"/>
      <c r="AB45" s="6" t="n"/>
      <c r="AC45" s="4" t="inlineStr">
        <is>
          <t>AI 초안 (공식 확인 전)</t>
        </is>
      </c>
      <c r="AD45" s="4" t="inlineStr">
        <is>
          <t>노트·농도 공식 확인 / 국내 정가 / 이미지 / 시향 가능 채널</t>
        </is>
      </c>
    </row>
    <row r="46">
      <c r="A46" s="4" t="inlineStr">
        <is>
          <t>lancome-la-vie-est-belle</t>
        </is>
      </c>
      <c r="B46" s="4" t="inlineStr">
        <is>
          <t>Lancôme</t>
        </is>
      </c>
      <c r="C46" s="5" t="inlineStr">
        <is>
          <t>랑콤</t>
        </is>
      </c>
      <c r="D46" s="4" t="inlineStr">
        <is>
          <t>La Vie Est Belle</t>
        </is>
      </c>
      <c r="E46" s="5" t="inlineStr">
        <is>
          <t>라 비 에 벨</t>
        </is>
      </c>
      <c r="F46" s="5" t="inlineStr">
        <is>
          <t>EDP</t>
        </is>
      </c>
      <c r="G46" s="5" t="inlineStr">
        <is>
          <t>Blackcurrant, Pear</t>
        </is>
      </c>
      <c r="H46" s="5" t="inlineStr">
        <is>
          <t>Iris, Jasmine, Orange Blossom</t>
        </is>
      </c>
      <c r="I46" s="5" t="inlineStr">
        <is>
          <t>Praline, Vanilla, Patchouli, Tonka Bean</t>
        </is>
      </c>
      <c r="J46" s="6" t="n"/>
      <c r="K46" s="5" t="inlineStr">
        <is>
          <t>gourmand</t>
        </is>
      </c>
      <c r="L46" s="5" t="inlineStr">
        <is>
          <t>powdery, floral</t>
        </is>
      </c>
      <c r="M46" s="5" t="inlineStr">
        <is>
          <t>sweet, cozy, elegant, lovely</t>
        </is>
      </c>
      <c r="N46" s="5" t="inlineStr">
        <is>
          <t>tooSweet</t>
        </is>
      </c>
      <c r="O46" s="5" t="inlineStr">
        <is>
          <t>medium</t>
        </is>
      </c>
      <c r="P46" s="5" t="inlineStr">
        <is>
          <t>mid</t>
        </is>
      </c>
      <c r="Q46" s="5" t="inlineStr">
        <is>
          <t>가을·겨울 · 데일리</t>
        </is>
      </c>
      <c r="R46" s="5" t="inlineStr">
        <is>
          <t>과일과 프랄린이 어우러진 달콤하고 포근한 향</t>
        </is>
      </c>
      <c r="S46" s="5" t="inlineStr">
        <is>
          <t>시간이 지나면 고소한 달콤함이 남아요</t>
        </is>
      </c>
      <c r="T46" s="5" t="inlineStr">
        <is>
          <t>달콤한 첫 향이 프랄린으로 이어지는지 맡아보세요</t>
        </is>
      </c>
      <c r="U46" s="6" t="n"/>
      <c r="V46" s="6" t="n"/>
      <c r="W46" s="6" t="n"/>
      <c r="X46" s="6" t="n"/>
      <c r="Y46" s="4" t="inlineStr">
        <is>
          <t>랑콤 뷰티 백화점</t>
        </is>
      </c>
      <c r="Z46" s="6" t="inlineStr">
        <is>
          <t>[확인 필요]</t>
        </is>
      </c>
      <c r="AA46" s="6" t="n"/>
      <c r="AB46" s="6" t="n"/>
      <c r="AC46" s="4" t="inlineStr">
        <is>
          <t>AI 초안 (공식 확인 전)</t>
        </is>
      </c>
      <c r="AD46" s="4" t="inlineStr">
        <is>
          <t>노트·농도 공식 확인 / 국내 정가 / 이미지 / 시향 가능 채널</t>
        </is>
      </c>
    </row>
    <row r="47">
      <c r="A47" s="4" t="inlineStr">
        <is>
          <t>kilian-angels-share</t>
        </is>
      </c>
      <c r="B47" s="4" t="inlineStr">
        <is>
          <t>Kilian Paris</t>
        </is>
      </c>
      <c r="C47" s="5" t="inlineStr">
        <is>
          <t>킬리안 파리</t>
        </is>
      </c>
      <c r="D47" s="4" t="inlineStr">
        <is>
          <t>Angels' Share</t>
        </is>
      </c>
      <c r="E47" s="5" t="inlineStr">
        <is>
          <t>엔젤스 셰어</t>
        </is>
      </c>
      <c r="F47" s="5" t="inlineStr">
        <is>
          <t>EDP</t>
        </is>
      </c>
      <c r="G47" s="5" t="inlineStr">
        <is>
          <t>Cognac, Cinnamon</t>
        </is>
      </c>
      <c r="H47" s="5" t="inlineStr">
        <is>
          <t>Tonka Bean, Oak</t>
        </is>
      </c>
      <c r="I47" s="5" t="inlineStr">
        <is>
          <t>Praline, Vanilla, Sandalwood</t>
        </is>
      </c>
      <c r="J47" s="6" t="n"/>
      <c r="K47" s="5" t="inlineStr">
        <is>
          <t>gourmand</t>
        </is>
      </c>
      <c r="L47" s="5" t="inlineStr">
        <is>
          <t>amber, spicy</t>
        </is>
      </c>
      <c r="M47" s="5" t="inlineStr">
        <is>
          <t>warm, cozy, deep, sensual</t>
        </is>
      </c>
      <c r="N47" s="5" t="inlineStr">
        <is>
          <t>tooSweet, tooStrong</t>
        </is>
      </c>
      <c r="O47" s="5" t="inlineStr">
        <is>
          <t>strong</t>
        </is>
      </c>
      <c r="P47" s="5" t="inlineStr">
        <is>
          <t>mid</t>
        </is>
      </c>
      <c r="Q47" s="5" t="inlineStr">
        <is>
          <t>가을·겨울 · 저녁</t>
        </is>
      </c>
      <c r="R47" s="5" t="inlineStr">
        <is>
          <t>코냑과 계피, 바닐라가 따뜻하게 어우러진 향</t>
        </is>
      </c>
      <c r="S47" s="5" t="inlineStr">
        <is>
          <t>시간이 지나도 달콤한 술 향이 포근하게 남아요</t>
        </is>
      </c>
      <c r="T47" s="5" t="inlineStr">
        <is>
          <t>술 향 같은 달콤함이 진한 편이니 한 번에 길게 맡아보세요</t>
        </is>
      </c>
      <c r="U47" s="6" t="n"/>
      <c r="V47" s="6" t="n"/>
      <c r="W47" s="6" t="n"/>
      <c r="X47" s="6" t="n"/>
      <c r="Y47" s="4" t="inlineStr">
        <is>
          <t>킬리안 파리 백화점</t>
        </is>
      </c>
      <c r="Z47" s="6" t="inlineStr">
        <is>
          <t>[확인 필요]</t>
        </is>
      </c>
      <c r="AA47" s="6" t="n"/>
      <c r="AB47" s="6" t="n"/>
      <c r="AC47" s="4" t="inlineStr">
        <is>
          <t>AI 초안 (공식 확인 전)</t>
        </is>
      </c>
      <c r="AD47" s="4" t="inlineStr">
        <is>
          <t>노트·농도 공식 확인 / 국내 정가 / 이미지 / 시향 가능 채널</t>
        </is>
      </c>
    </row>
    <row r="48">
      <c r="A48" s="4" t="inlineStr">
        <is>
          <t>mugler-angel</t>
        </is>
      </c>
      <c r="B48" s="4" t="inlineStr">
        <is>
          <t>Mugler</t>
        </is>
      </c>
      <c r="C48" s="5" t="inlineStr">
        <is>
          <t>뮈글러</t>
        </is>
      </c>
      <c r="D48" s="4" t="inlineStr">
        <is>
          <t>Angel</t>
        </is>
      </c>
      <c r="E48" s="5" t="inlineStr">
        <is>
          <t>엔젤</t>
        </is>
      </c>
      <c r="F48" s="5" t="inlineStr">
        <is>
          <t>EDP</t>
        </is>
      </c>
      <c r="G48" s="5" t="inlineStr">
        <is>
          <t>Bergamot, Coconut</t>
        </is>
      </c>
      <c r="H48" s="5" t="inlineStr">
        <is>
          <t>Honey, Jasmine</t>
        </is>
      </c>
      <c r="I48" s="5" t="inlineStr">
        <is>
          <t>Patchouli, Chocolate, Caramel, Vanilla</t>
        </is>
      </c>
      <c r="J48" s="6" t="n"/>
      <c r="K48" s="5" t="inlineStr">
        <is>
          <t>gourmand</t>
        </is>
      </c>
      <c r="L48" s="5" t="inlineStr">
        <is>
          <t>amber</t>
        </is>
      </c>
      <c r="M48" s="5" t="inlineStr">
        <is>
          <t>sweet, deep, warm, sensual</t>
        </is>
      </c>
      <c r="N48" s="5" t="inlineStr">
        <is>
          <t>tooSweet, tooStrong, headache</t>
        </is>
      </c>
      <c r="O48" s="5" t="inlineStr">
        <is>
          <t>strong</t>
        </is>
      </c>
      <c r="P48" s="5" t="inlineStr">
        <is>
          <t>high</t>
        </is>
      </c>
      <c r="Q48" s="5" t="inlineStr">
        <is>
          <t>가을·겨울 · 저녁</t>
        </is>
      </c>
      <c r="R48" s="5" t="inlineStr">
        <is>
          <t>초콜릿과 카라멜이 가득한 아주 달콤하고 진한 향</t>
        </is>
      </c>
      <c r="S48" s="5" t="inlineStr">
        <is>
          <t>시간이 지나도 달콤한 향이 매우 오래 남아요</t>
        </is>
      </c>
      <c r="T48" s="5" t="inlineStr">
        <is>
          <t>향이 매우 진하니 소량만 뿌려 맡아보세요</t>
        </is>
      </c>
      <c r="U48" s="6" t="n"/>
      <c r="V48" s="6" t="n"/>
      <c r="W48" s="6" t="n"/>
      <c r="X48" s="6" t="n"/>
      <c r="Y48" s="4" t="inlineStr">
        <is>
          <t>뮈글러 엔젤 백화점</t>
        </is>
      </c>
      <c r="Z48" s="6" t="inlineStr">
        <is>
          <t>[확인 필요]</t>
        </is>
      </c>
      <c r="AA48" s="6" t="n"/>
      <c r="AB48" s="6" t="n"/>
      <c r="AC48" s="4" t="inlineStr">
        <is>
          <t>AI 초안 (공식 확인 전)</t>
        </is>
      </c>
      <c r="AD48" s="4" t="inlineStr">
        <is>
          <t>노트·농도 공식 확인 / 국내 정가 / 이미지 / 시향 가능 채널</t>
        </is>
      </c>
    </row>
    <row r="49">
      <c r="A49" s="4" t="inlineStr">
        <is>
          <t>maison-margiela-replica-by-the-fireplace</t>
        </is>
      </c>
      <c r="B49" s="4" t="inlineStr">
        <is>
          <t>Maison Margiela</t>
        </is>
      </c>
      <c r="C49" s="5" t="inlineStr">
        <is>
          <t>메종 마르지엘라</t>
        </is>
      </c>
      <c r="D49" s="4" t="inlineStr">
        <is>
          <t>Replica By the Fireplace</t>
        </is>
      </c>
      <c r="E49" s="5" t="inlineStr">
        <is>
          <t>레플리카 바이 더 파이어플레이스</t>
        </is>
      </c>
      <c r="F49" s="5" t="inlineStr">
        <is>
          <t>EDT</t>
        </is>
      </c>
      <c r="G49" s="5" t="inlineStr">
        <is>
          <t>Clove, Pink Pepper, Orange Blossom</t>
        </is>
      </c>
      <c r="H49" s="5" t="inlineStr">
        <is>
          <t>Chestnut, Guaiac Wood</t>
        </is>
      </c>
      <c r="I49" s="5" t="inlineStr">
        <is>
          <t>Vanilla, Cashmeran</t>
        </is>
      </c>
      <c r="J49" s="6" t="n"/>
      <c r="K49" s="5" t="inlineStr">
        <is>
          <t>leather</t>
        </is>
      </c>
      <c r="L49" s="5" t="inlineStr">
        <is>
          <t>gourmand, woody, spicy</t>
        </is>
      </c>
      <c r="M49" s="5" t="inlineStr">
        <is>
          <t>cozy, warm, deep</t>
        </is>
      </c>
      <c r="N49" s="5" t="inlineStr">
        <is>
          <t>smoky</t>
        </is>
      </c>
      <c r="O49" s="5" t="inlineStr">
        <is>
          <t>medium</t>
        </is>
      </c>
      <c r="P49" s="5" t="inlineStr">
        <is>
          <t>mid</t>
        </is>
      </c>
      <c r="Q49" s="5" t="inlineStr">
        <is>
          <t>가을·겨울 · 저녁</t>
        </is>
      </c>
      <c r="R49" s="5" t="inlineStr">
        <is>
          <t>벽난로 앞에서 군밤을 굽는 듯한 따뜻하고 스모키한 향</t>
        </is>
      </c>
      <c r="S49" s="5" t="inlineStr">
        <is>
          <t>시간이 지나면 포근한 바닐라와 나무 향이 남아요</t>
        </is>
      </c>
      <c r="T49" s="5" t="inlineStr">
        <is>
          <t>스모키한 느낌이 얼마나 되는지 맡아보세요</t>
        </is>
      </c>
      <c r="U49" s="6" t="n">
        <v>100</v>
      </c>
      <c r="V49" s="10" t="n">
        <v>240000</v>
      </c>
      <c r="W49" s="6" t="inlineStr">
        <is>
          <t>2026-10-07</t>
        </is>
      </c>
      <c r="X49" s="6" t="inlineStr">
        <is>
          <t>https://www.maisonmargiela.com/ko-kr/replica-by-the-fireplace-eau-de-toilette-%7C-maison-margiela-S33YX0024S11331961.html</t>
        </is>
      </c>
      <c r="Y49" s="4" t="inlineStr">
        <is>
          <t>메종 마르지엘라 레플리카 백화점</t>
        </is>
      </c>
      <c r="Z49" s="6" t="inlineStr">
        <is>
          <t>[확인 필요]</t>
        </is>
      </c>
      <c r="AA49" s="6" t="inlineStr">
        <is>
          <t>maison-margiela-replica-by-the-fireplace.jpg</t>
        </is>
      </c>
      <c r="AB49" s="6" t="inlineStr">
        <is>
          <t>https://www.maisonmargiela.com/ko-kr/replica-by-the-fireplace-eau-de-toilette-%7C-maison-margiela-S33YX0024S11331961.html</t>
        </is>
      </c>
      <c r="AC49" s="4" t="inlineStr">
        <is>
          <t>AI 초안 (공식 확인 전)</t>
        </is>
      </c>
      <c r="AD49" s="4" t="inlineStr">
        <is>
          <t>노트·농도 공식 확인 / 시향 가능 채널 (가격·이미지는 공식 페이지에서 반영됨)</t>
        </is>
      </c>
    </row>
    <row r="50">
      <c r="A50" s="4" t="inlineStr">
        <is>
          <t>maison-margiela-replica-jazz-club</t>
        </is>
      </c>
      <c r="B50" s="4" t="inlineStr">
        <is>
          <t>Maison Margiela</t>
        </is>
      </c>
      <c r="C50" s="5" t="inlineStr">
        <is>
          <t>메종 마르지엘라</t>
        </is>
      </c>
      <c r="D50" s="4" t="inlineStr">
        <is>
          <t>Replica Jazz Club</t>
        </is>
      </c>
      <c r="E50" s="5" t="inlineStr">
        <is>
          <t>레플리카 재즈 클럽</t>
        </is>
      </c>
      <c r="F50" s="5" t="inlineStr">
        <is>
          <t>EDT</t>
        </is>
      </c>
      <c r="G50" s="5" t="inlineStr">
        <is>
          <t>Pink Pepper, Lemon, Neroli</t>
        </is>
      </c>
      <c r="H50" s="5" t="inlineStr">
        <is>
          <t>Rum, Vetiver, Clary Sage</t>
        </is>
      </c>
      <c r="I50" s="5" t="inlineStr">
        <is>
          <t>Tobacco Leaf, Vanilla, Styrax</t>
        </is>
      </c>
      <c r="J50" s="6" t="n"/>
      <c r="K50" s="5" t="inlineStr">
        <is>
          <t>leather</t>
        </is>
      </c>
      <c r="L50" s="5" t="inlineStr">
        <is>
          <t>gourmand, amber</t>
        </is>
      </c>
      <c r="M50" s="5" t="inlineStr">
        <is>
          <t>deep, cozy, warm, sensual</t>
        </is>
      </c>
      <c r="N50" s="5" t="inlineStr">
        <is>
          <t>smoky</t>
        </is>
      </c>
      <c r="O50" s="5" t="inlineStr">
        <is>
          <t>medium</t>
        </is>
      </c>
      <c r="P50" s="5" t="inlineStr">
        <is>
          <t>mid</t>
        </is>
      </c>
      <c r="Q50" s="5" t="inlineStr">
        <is>
          <t>가을·겨울 · 저녁</t>
        </is>
      </c>
      <c r="R50" s="5" t="inlineStr">
        <is>
          <t>술 한 잔과 담배 향이 어우러진 재즈바 같은 향</t>
        </is>
      </c>
      <c r="S50" s="5" t="inlineStr">
        <is>
          <t>시간이 지나면 달콤한 담배와 바닐라가 남아요</t>
        </is>
      </c>
      <c r="T50" s="5" t="inlineStr">
        <is>
          <t>럼과 담배 잎의 조화를 맡아보세요</t>
        </is>
      </c>
      <c r="U50" s="6" t="n"/>
      <c r="V50" s="6" t="n"/>
      <c r="W50" s="6" t="n"/>
      <c r="X50" s="6" t="n"/>
      <c r="Y50" s="4" t="inlineStr">
        <is>
          <t>메종 마르지엘라 레플리카 백화점</t>
        </is>
      </c>
      <c r="Z50" s="6" t="inlineStr">
        <is>
          <t>[확인 필요]</t>
        </is>
      </c>
      <c r="AA50" s="6" t="n"/>
      <c r="AB50" s="6" t="n"/>
      <c r="AC50" s="4" t="inlineStr">
        <is>
          <t>AI 초안 (공식 확인 전)</t>
        </is>
      </c>
      <c r="AD50" s="4" t="inlineStr">
        <is>
          <t>노트·농도 공식 확인 / 국내 정가 / 이미지 / 시향 가능 채널</t>
        </is>
      </c>
    </row>
    <row r="51">
      <c r="A51" s="4" t="inlineStr">
        <is>
          <t>tom-ford-tobacco-vanille</t>
        </is>
      </c>
      <c r="B51" s="4" t="inlineStr">
        <is>
          <t>Tom Ford</t>
        </is>
      </c>
      <c r="C51" s="5" t="inlineStr">
        <is>
          <t>톰 포드</t>
        </is>
      </c>
      <c r="D51" s="4" t="inlineStr">
        <is>
          <t>Tobacco Vanille</t>
        </is>
      </c>
      <c r="E51" s="5" t="inlineStr">
        <is>
          <t>토바코 바닐</t>
        </is>
      </c>
      <c r="F51" s="5" t="inlineStr">
        <is>
          <t>EDP</t>
        </is>
      </c>
      <c r="G51" s="5" t="inlineStr">
        <is>
          <t>Tobacco Leaf, Spices</t>
        </is>
      </c>
      <c r="H51" s="5" t="inlineStr">
        <is>
          <t>Vanilla, Cacao, Tonka Bean</t>
        </is>
      </c>
      <c r="I51" s="5" t="inlineStr">
        <is>
          <t>Dried Fruits, Woody Notes</t>
        </is>
      </c>
      <c r="J51" s="6" t="n"/>
      <c r="K51" s="5" t="inlineStr">
        <is>
          <t>leather</t>
        </is>
      </c>
      <c r="L51" s="5" t="inlineStr">
        <is>
          <t>gourmand, spicy</t>
        </is>
      </c>
      <c r="M51" s="5" t="inlineStr">
        <is>
          <t>deep, warm, cozy, sensual</t>
        </is>
      </c>
      <c r="N51" s="5" t="inlineStr">
        <is>
          <t>tooStrong, smoky</t>
        </is>
      </c>
      <c r="O51" s="5" t="inlineStr">
        <is>
          <t>strong</t>
        </is>
      </c>
      <c r="P51" s="5" t="inlineStr">
        <is>
          <t>high</t>
        </is>
      </c>
      <c r="Q51" s="5" t="inlineStr">
        <is>
          <t>가을·겨울 · 저녁</t>
        </is>
      </c>
      <c r="R51" s="5" t="inlineStr">
        <is>
          <t>달콤한 바닐라와 담뱃잎이 어우러진 깊고 진한 향</t>
        </is>
      </c>
      <c r="S51" s="5" t="inlineStr">
        <is>
          <t>시간이 지나도 달콤한 담배 향이 오래 남아요</t>
        </is>
      </c>
      <c r="T51" s="5" t="inlineStr">
        <is>
          <t>향이 매우 진하니 소량만 뿌려 맡아보세요</t>
        </is>
      </c>
      <c r="U51" s="6" t="n"/>
      <c r="V51" s="6" t="n"/>
      <c r="W51" s="6" t="n"/>
      <c r="X51" s="6" t="n"/>
      <c r="Y51" s="4" t="inlineStr">
        <is>
          <t>톰 포드 뷰티 백화점</t>
        </is>
      </c>
      <c r="Z51" s="6" t="inlineStr">
        <is>
          <t>[확인 필요]</t>
        </is>
      </c>
      <c r="AA51" s="6" t="n"/>
      <c r="AB51" s="6" t="n"/>
      <c r="AC51" s="4" t="inlineStr">
        <is>
          <t>AI 초안 (공식 확인 전)</t>
        </is>
      </c>
      <c r="AD51" s="4" t="inlineStr">
        <is>
          <t>노트·농도 공식 확인 / 국내 정가 / 이미지 / 시향 가능 채널</t>
        </is>
      </c>
    </row>
    <row r="52">
      <c r="A52" s="4" t="inlineStr">
        <is>
          <t>le-labo-another-13</t>
        </is>
      </c>
      <c r="B52" s="4" t="inlineStr">
        <is>
          <t>Le Labo</t>
        </is>
      </c>
      <c r="C52" s="5" t="inlineStr">
        <is>
          <t>르 라보</t>
        </is>
      </c>
      <c r="D52" s="4" t="inlineStr">
        <is>
          <t>Another 13</t>
        </is>
      </c>
      <c r="E52" s="5" t="inlineStr">
        <is>
          <t>어나더 13</t>
        </is>
      </c>
      <c r="F52" s="5" t="inlineStr">
        <is>
          <t>EDP</t>
        </is>
      </c>
      <c r="G52" s="5" t="inlineStr">
        <is>
          <t>Ambrette, Jasmine</t>
        </is>
      </c>
      <c r="H52" s="5" t="inlineStr">
        <is>
          <t>Oakmoss</t>
        </is>
      </c>
      <c r="I52" s="5" t="inlineStr">
        <is>
          <t>Ambroxan, Musk</t>
        </is>
      </c>
      <c r="J52" s="6" t="n"/>
      <c r="K52" s="5" t="inlineStr">
        <is>
          <t>musk</t>
        </is>
      </c>
      <c r="L52" s="5" t="inlineStr">
        <is>
          <t>whiteFloral, woody</t>
        </is>
      </c>
      <c r="M52" s="5" t="inlineStr">
        <is>
          <t>clean, soft, calm</t>
        </is>
      </c>
      <c r="N52" s="5" t="n"/>
      <c r="O52" s="5" t="inlineStr">
        <is>
          <t>medium</t>
        </is>
      </c>
      <c r="P52" s="5" t="inlineStr">
        <is>
          <t>mid</t>
        </is>
      </c>
      <c r="Q52" s="5" t="inlineStr">
        <is>
          <t>사계절 · 데일리</t>
        </is>
      </c>
      <c r="R52" s="5" t="inlineStr">
        <is>
          <t>깨끗한 피부 같은 투명한 머스크 향</t>
        </is>
      </c>
      <c r="S52" s="5" t="inlineStr">
        <is>
          <t>시간이 지나도 깨끗한 머스크가 피부에 오래 남아요</t>
        </is>
      </c>
      <c r="T52" s="5" t="inlineStr">
        <is>
          <t>첫 향이 얼마나 투명한지, 머스크가 부담스럽지 않은지 맡아보세요</t>
        </is>
      </c>
      <c r="U52" s="6" t="n">
        <v>50</v>
      </c>
      <c r="V52" s="10" t="n">
        <v>319000</v>
      </c>
      <c r="W52" s="6" t="inlineStr">
        <is>
          <t>2026-10-07</t>
        </is>
      </c>
      <c r="X52" s="6" t="inlineStr">
        <is>
          <t>https://www.lelabofragrances.co.kr/another-13-747.html</t>
        </is>
      </c>
      <c r="Y52" s="4" t="inlineStr">
        <is>
          <t>르 라보 백화점</t>
        </is>
      </c>
      <c r="Z52" s="6" t="inlineStr">
        <is>
          <t>[확인 필요]</t>
        </is>
      </c>
      <c r="AA52" s="6" t="inlineStr">
        <is>
          <t>le-labo-another-13.jpg</t>
        </is>
      </c>
      <c r="AB52" s="6" t="inlineStr">
        <is>
          <t>https://www.lelabofragrances.co.kr/another-13-747.html</t>
        </is>
      </c>
      <c r="AC52" s="4" t="inlineStr">
        <is>
          <t>AI 초안 (공식 확인 전)</t>
        </is>
      </c>
      <c r="AD52" s="4" t="inlineStr">
        <is>
          <t>노트·농도 공식 확인 / 시향 가능 채널 (가격·이미지는 공식 페이지에서 반영됨)</t>
        </is>
      </c>
    </row>
    <row r="53">
      <c r="A53" s="4" t="inlineStr">
        <is>
          <t>le-labo-rose-31</t>
        </is>
      </c>
      <c r="B53" s="4" t="inlineStr">
        <is>
          <t>Le Labo</t>
        </is>
      </c>
      <c r="C53" s="5" t="inlineStr">
        <is>
          <t>르 라보</t>
        </is>
      </c>
      <c r="D53" s="4" t="inlineStr">
        <is>
          <t>Rose 31</t>
        </is>
      </c>
      <c r="E53" s="5" t="inlineStr">
        <is>
          <t>로즈 31</t>
        </is>
      </c>
      <c r="F53" s="5" t="inlineStr">
        <is>
          <t>EDP</t>
        </is>
      </c>
      <c r="G53" s="5" t="inlineStr">
        <is>
          <t>Rose, Cumin</t>
        </is>
      </c>
      <c r="H53" s="5" t="inlineStr">
        <is>
          <t>Cedar, Guaiac Wood</t>
        </is>
      </c>
      <c r="I53" s="5" t="inlineStr">
        <is>
          <t>Incense, Amber, Oud</t>
        </is>
      </c>
      <c r="J53" s="6" t="n"/>
      <c r="K53" s="5" t="inlineStr">
        <is>
          <t>floral</t>
        </is>
      </c>
      <c r="L53" s="5" t="inlineStr">
        <is>
          <t>woody, spicy, leather</t>
        </is>
      </c>
      <c r="M53" s="5" t="inlineStr">
        <is>
          <t>deep, warm, elegant, sensual</t>
        </is>
      </c>
      <c r="N53" s="5" t="inlineStr">
        <is>
          <t>tooStrong, smoky</t>
        </is>
      </c>
      <c r="O53" s="5" t="inlineStr">
        <is>
          <t>strong</t>
        </is>
      </c>
      <c r="P53" s="5" t="inlineStr">
        <is>
          <t>high</t>
        </is>
      </c>
      <c r="Q53" s="5" t="inlineStr">
        <is>
          <t>가을·겨울 · 저녁</t>
        </is>
      </c>
      <c r="R53" s="5" t="inlineStr">
        <is>
          <t>장미에 향신료와 연기를 더한 어둡고 진한 향</t>
        </is>
      </c>
      <c r="S53" s="5" t="inlineStr">
        <is>
          <t>시간이 지나도 스모키한 나무 향이 길게 남아요</t>
        </is>
      </c>
      <c r="T53" s="5" t="inlineStr">
        <is>
          <t>장미 향이 달콤하지 않고 스모키한지 확인해 보세요</t>
        </is>
      </c>
      <c r="U53" s="6" t="n">
        <v>50</v>
      </c>
      <c r="V53" s="10" t="n">
        <v>319000</v>
      </c>
      <c r="W53" s="6" t="inlineStr">
        <is>
          <t>2026-10-07</t>
        </is>
      </c>
      <c r="X53" s="6" t="inlineStr">
        <is>
          <t>https://www.lelabofragrances.co.kr/rose-31-962.html</t>
        </is>
      </c>
      <c r="Y53" s="4" t="inlineStr">
        <is>
          <t>르 라보 백화점</t>
        </is>
      </c>
      <c r="Z53" s="6" t="inlineStr">
        <is>
          <t>[확인 필요]</t>
        </is>
      </c>
      <c r="AA53" s="6" t="inlineStr">
        <is>
          <t>le-labo-rose-31.jpg</t>
        </is>
      </c>
      <c r="AB53" s="6" t="inlineStr">
        <is>
          <t>https://www.lelabofragrances.co.kr/rose-31-962.html</t>
        </is>
      </c>
      <c r="AC53" s="4" t="inlineStr">
        <is>
          <t>AI 초안 (공식 확인 전)</t>
        </is>
      </c>
      <c r="AD53" s="4" t="inlineStr">
        <is>
          <t>노트·농도 공식 확인 / 시향 가능 채널 (가격·이미지는 공식 페이지에서 반영됨)</t>
        </is>
      </c>
    </row>
    <row r="54">
      <c r="A54" s="4" t="inlineStr">
        <is>
          <t>le-labo-the-noir-29</t>
        </is>
      </c>
      <c r="B54" s="4" t="inlineStr">
        <is>
          <t>Le Labo</t>
        </is>
      </c>
      <c r="C54" s="5" t="inlineStr">
        <is>
          <t>르 라보</t>
        </is>
      </c>
      <c r="D54" s="4" t="inlineStr">
        <is>
          <t>Thé Noir 29</t>
        </is>
      </c>
      <c r="E54" s="5" t="inlineStr">
        <is>
          <t>떼 누아 29</t>
        </is>
      </c>
      <c r="F54" s="5" t="inlineStr">
        <is>
          <t>EDP</t>
        </is>
      </c>
      <c r="G54" s="5" t="inlineStr">
        <is>
          <t>Bergamot, Fig</t>
        </is>
      </c>
      <c r="H54" s="5" t="inlineStr">
        <is>
          <t>Tea, Tobacco Leaf</t>
        </is>
      </c>
      <c r="I54" s="5" t="inlineStr">
        <is>
          <t>Vetiver, Cedar, Musk</t>
        </is>
      </c>
      <c r="J54" s="6" t="n"/>
      <c r="K54" s="5" t="inlineStr">
        <is>
          <t>green</t>
        </is>
      </c>
      <c r="L54" s="5" t="inlineStr">
        <is>
          <t>leather, woody</t>
        </is>
      </c>
      <c r="M54" s="5" t="inlineStr">
        <is>
          <t>calm, cozy, deep</t>
        </is>
      </c>
      <c r="N54" s="5" t="n"/>
      <c r="O54" s="5" t="inlineStr">
        <is>
          <t>medium</t>
        </is>
      </c>
      <c r="P54" s="5" t="inlineStr">
        <is>
          <t>mid</t>
        </is>
      </c>
      <c r="Q54" s="5" t="inlineStr">
        <is>
          <t>가을·겨울 · 휴식</t>
        </is>
      </c>
      <c r="R54" s="5" t="inlineStr">
        <is>
          <t>홍차와 무화과, 담뱃잎이 어우러진 차분한 향</t>
        </is>
      </c>
      <c r="S54" s="5" t="inlineStr">
        <is>
          <t>시간이 지나면 차분한 나무와 머스크가 남아요</t>
        </is>
      </c>
      <c r="T54" s="5" t="inlineStr">
        <is>
          <t>홍차 향이 담배 느낌으로 이어지는지 맡아보세요</t>
        </is>
      </c>
      <c r="U54" s="6" t="n">
        <v>50</v>
      </c>
      <c r="V54" s="10" t="n">
        <v>319000</v>
      </c>
      <c r="W54" s="6" t="inlineStr">
        <is>
          <t>2026-10-07</t>
        </is>
      </c>
      <c r="X54" s="6" t="inlineStr">
        <is>
          <t>https://www.lelabofragrances.co.kr/th-noir-29-1003.html</t>
        </is>
      </c>
      <c r="Y54" s="4" t="inlineStr">
        <is>
          <t>르 라보 백화점</t>
        </is>
      </c>
      <c r="Z54" s="6" t="inlineStr">
        <is>
          <t>[확인 필요]</t>
        </is>
      </c>
      <c r="AA54" s="6" t="inlineStr">
        <is>
          <t>le-labo-the-noir-29.jpg</t>
        </is>
      </c>
      <c r="AB54" s="6" t="inlineStr">
        <is>
          <t>https://www.lelabofragrances.co.kr/th-noir-29-1003.html</t>
        </is>
      </c>
      <c r="AC54" s="4" t="inlineStr">
        <is>
          <t>AI 초안 (공식 확인 전)</t>
        </is>
      </c>
      <c r="AD54" s="4" t="inlineStr">
        <is>
          <t>노트·농도 공식 확인 / 시향 가능 채널 (가격·이미지는 공식 페이지에서 반영됨)</t>
        </is>
      </c>
    </row>
    <row r="55">
      <c r="A55" s="4" t="inlineStr">
        <is>
          <t>le-labo-bergamote-22</t>
        </is>
      </c>
      <c r="B55" s="4" t="inlineStr">
        <is>
          <t>Le Labo</t>
        </is>
      </c>
      <c r="C55" s="5" t="inlineStr">
        <is>
          <t>르 라보</t>
        </is>
      </c>
      <c r="D55" s="4" t="inlineStr">
        <is>
          <t>Bergamote 22</t>
        </is>
      </c>
      <c r="E55" s="5" t="inlineStr">
        <is>
          <t>베르가못 22</t>
        </is>
      </c>
      <c r="F55" s="5" t="inlineStr">
        <is>
          <t>EDP</t>
        </is>
      </c>
      <c r="G55" s="5" t="inlineStr">
        <is>
          <t>Bergamot, Grapefruit</t>
        </is>
      </c>
      <c r="H55" s="5" t="inlineStr">
        <is>
          <t>Orange Blossom</t>
        </is>
      </c>
      <c r="I55" s="5" t="inlineStr">
        <is>
          <t>Cedar, Musk, Amber</t>
        </is>
      </c>
      <c r="J55" s="6" t="n"/>
      <c r="K55" s="5" t="inlineStr">
        <is>
          <t>citrus</t>
        </is>
      </c>
      <c r="L55" s="5" t="inlineStr">
        <is>
          <t>musk</t>
        </is>
      </c>
      <c r="M55" s="5" t="inlineStr">
        <is>
          <t>fresh, clean, zesty</t>
        </is>
      </c>
      <c r="N55" s="5" t="n"/>
      <c r="O55" s="5" t="inlineStr">
        <is>
          <t>medium</t>
        </is>
      </c>
      <c r="P55" s="5" t="inlineStr">
        <is>
          <t>low</t>
        </is>
      </c>
      <c r="Q55" s="5" t="inlineStr">
        <is>
          <t>봄·여름 · 데일리</t>
        </is>
      </c>
      <c r="R55" s="5" t="inlineStr">
        <is>
          <t>깔끔한 베르가못에 머스크가 감싸는 향</t>
        </is>
      </c>
      <c r="S55" s="5" t="inlineStr">
        <is>
          <t>몇 시간 뒤엔 부드러운 머스크와 나무 향이 남아요</t>
        </is>
      </c>
      <c r="T55" s="5" t="inlineStr">
        <is>
          <t>시트러스가 오래 가는지 확인해 보세요</t>
        </is>
      </c>
      <c r="U55" s="6" t="n">
        <v>50</v>
      </c>
      <c r="V55" s="10" t="n">
        <v>319000</v>
      </c>
      <c r="W55" s="6" t="inlineStr">
        <is>
          <t>2026-10-07</t>
        </is>
      </c>
      <c r="X55" s="6" t="inlineStr">
        <is>
          <t>https://www.lelabofragrances.co.kr/bergamote-22-771.html</t>
        </is>
      </c>
      <c r="Y55" s="4" t="inlineStr">
        <is>
          <t>르 라보 백화점</t>
        </is>
      </c>
      <c r="Z55" s="6" t="inlineStr">
        <is>
          <t>[확인 필요]</t>
        </is>
      </c>
      <c r="AA55" s="6" t="inlineStr">
        <is>
          <t>le-labo-bergamote-22.jpg</t>
        </is>
      </c>
      <c r="AB55" s="6" t="inlineStr">
        <is>
          <t>https://www.lelabofragrances.co.kr/bergamote-22-771.html</t>
        </is>
      </c>
      <c r="AC55" s="4" t="inlineStr">
        <is>
          <t>AI 초안 (공식 확인 전)</t>
        </is>
      </c>
      <c r="AD55" s="4" t="inlineStr">
        <is>
          <t>노트·농도 공식 확인 / 시향 가능 채널 (가격·이미지는 공식 페이지에서 반영됨)</t>
        </is>
      </c>
    </row>
    <row r="56">
      <c r="A56" s="4" t="inlineStr">
        <is>
          <t>kilian-love-dont-be-shy</t>
        </is>
      </c>
      <c r="B56" s="4" t="inlineStr">
        <is>
          <t>Kilian Paris</t>
        </is>
      </c>
      <c r="C56" s="5" t="inlineStr">
        <is>
          <t>킬리안 파리</t>
        </is>
      </c>
      <c r="D56" s="4" t="inlineStr">
        <is>
          <t>Love, Don't Be Shy</t>
        </is>
      </c>
      <c r="E56" s="5" t="inlineStr">
        <is>
          <t>러브 돈트 비 샤이</t>
        </is>
      </c>
      <c r="F56" s="5" t="inlineStr">
        <is>
          <t>EDP</t>
        </is>
      </c>
      <c r="G56" s="5" t="inlineStr">
        <is>
          <t>Neroli, Orange Blossom</t>
        </is>
      </c>
      <c r="H56" s="5" t="inlineStr">
        <is>
          <t>Rose, Marshmallow</t>
        </is>
      </c>
      <c r="I56" s="5" t="inlineStr">
        <is>
          <t>Vanilla, Musk</t>
        </is>
      </c>
      <c r="J56" s="6" t="n"/>
      <c r="K56" s="5" t="inlineStr">
        <is>
          <t>gourmand</t>
        </is>
      </c>
      <c r="L56" s="5" t="inlineStr">
        <is>
          <t>whiteFloral</t>
        </is>
      </c>
      <c r="M56" s="5" t="inlineStr">
        <is>
          <t>sweet, soft, elegant</t>
        </is>
      </c>
      <c r="N56" s="5" t="inlineStr">
        <is>
          <t>tooSweet</t>
        </is>
      </c>
      <c r="O56" s="5" t="inlineStr">
        <is>
          <t>strong</t>
        </is>
      </c>
      <c r="P56" s="5" t="inlineStr">
        <is>
          <t>mid</t>
        </is>
      </c>
      <c r="Q56" s="5" t="inlineStr">
        <is>
          <t>가을·겨울 · 데이트</t>
        </is>
      </c>
      <c r="R56" s="5" t="inlineStr">
        <is>
          <t>마시멜로처럼 폭신하고 달콤한 꽃 향</t>
        </is>
      </c>
      <c r="S56" s="5" t="inlineStr">
        <is>
          <t>시간이 지나도 달콤한 바닐라 머스크가 길게 남아요</t>
        </is>
      </c>
      <c r="T56" s="5" t="inlineStr">
        <is>
          <t>설탕 같은 달콤함이 부담스럽지 않은지 확인해 보세요</t>
        </is>
      </c>
      <c r="U56" s="6" t="n"/>
      <c r="V56" s="6" t="n"/>
      <c r="W56" s="6" t="n"/>
      <c r="X56" s="6" t="n"/>
      <c r="Y56" s="4" t="inlineStr">
        <is>
          <t>킬리안 파리 백화점</t>
        </is>
      </c>
      <c r="Z56" s="6" t="inlineStr">
        <is>
          <t>[확인 필요]</t>
        </is>
      </c>
      <c r="AA56" s="6" t="n"/>
      <c r="AB56" s="6" t="n"/>
      <c r="AC56" s="4" t="inlineStr">
        <is>
          <t>AI 초안 (공식 확인 전)</t>
        </is>
      </c>
      <c r="AD56" s="4" t="inlineStr">
        <is>
          <t>노트·농도 공식 확인 / 국내 정가 / 이미지 / 시향 가능 채널</t>
        </is>
      </c>
    </row>
    <row r="57">
      <c r="A57" s="4" t="inlineStr">
        <is>
          <t>kilian-black-phantom</t>
        </is>
      </c>
      <c r="B57" s="4" t="inlineStr">
        <is>
          <t>Kilian Paris</t>
        </is>
      </c>
      <c r="C57" s="5" t="inlineStr">
        <is>
          <t>킬리안 파리</t>
        </is>
      </c>
      <c r="D57" s="4" t="inlineStr">
        <is>
          <t>Black Phantom</t>
        </is>
      </c>
      <c r="E57" s="5" t="inlineStr">
        <is>
          <t>블랙 팬텀</t>
        </is>
      </c>
      <c r="F57" s="5" t="inlineStr">
        <is>
          <t>EDP</t>
        </is>
      </c>
      <c r="G57" s="5" t="inlineStr">
        <is>
          <t>Rum, Coffee</t>
        </is>
      </c>
      <c r="H57" s="5" t="inlineStr">
        <is>
          <t>Cacao, Caramel</t>
        </is>
      </c>
      <c r="I57" s="5" t="inlineStr">
        <is>
          <t>Sandalwood, Musk, Vanilla</t>
        </is>
      </c>
      <c r="J57" s="6" t="n"/>
      <c r="K57" s="5" t="inlineStr">
        <is>
          <t>gourmand</t>
        </is>
      </c>
      <c r="L57" s="5" t="inlineStr">
        <is>
          <t>woody, leather</t>
        </is>
      </c>
      <c r="M57" s="5" t="inlineStr">
        <is>
          <t>deep, sweet, warm, sensual</t>
        </is>
      </c>
      <c r="N57" s="5" t="inlineStr">
        <is>
          <t>tooSweet, tooStrong</t>
        </is>
      </c>
      <c r="O57" s="5" t="inlineStr">
        <is>
          <t>strong</t>
        </is>
      </c>
      <c r="P57" s="5" t="inlineStr">
        <is>
          <t>high</t>
        </is>
      </c>
      <c r="Q57" s="5" t="inlineStr">
        <is>
          <t>가을·겨울 · 저녁</t>
        </is>
      </c>
      <c r="R57" s="5" t="inlineStr">
        <is>
          <t>럼과 커피, 초콜릿이 어우러진 진하고 달콤한 향</t>
        </is>
      </c>
      <c r="S57" s="5" t="inlineStr">
        <is>
          <t>시간이 지나도 달콤한 우디 향이 오래 남아요</t>
        </is>
      </c>
      <c r="T57" s="5" t="inlineStr">
        <is>
          <t>달콤함과 쌉쌀함의 균형을 맡아보세요</t>
        </is>
      </c>
      <c r="U57" s="6" t="n"/>
      <c r="V57" s="6" t="n"/>
      <c r="W57" s="6" t="n"/>
      <c r="X57" s="6" t="n"/>
      <c r="Y57" s="4" t="inlineStr">
        <is>
          <t>킬리안 파리 백화점</t>
        </is>
      </c>
      <c r="Z57" s="6" t="inlineStr">
        <is>
          <t>[확인 필요]</t>
        </is>
      </c>
      <c r="AA57" s="6" t="n"/>
      <c r="AB57" s="6" t="n"/>
      <c r="AC57" s="4" t="inlineStr">
        <is>
          <t>AI 초안 (공식 확인 전)</t>
        </is>
      </c>
      <c r="AD57" s="4" t="inlineStr">
        <is>
          <t>노트·농도 공식 확인 / 국내 정가 / 이미지 / 시향 가능 채널</t>
        </is>
      </c>
    </row>
    <row r="58">
      <c r="A58" s="4" t="inlineStr">
        <is>
          <t>creed-aventus</t>
        </is>
      </c>
      <c r="B58" s="4" t="inlineStr">
        <is>
          <t>Creed</t>
        </is>
      </c>
      <c r="C58" s="5" t="inlineStr">
        <is>
          <t>크리드</t>
        </is>
      </c>
      <c r="D58" s="4" t="inlineStr">
        <is>
          <t>Aventus</t>
        </is>
      </c>
      <c r="E58" s="5" t="inlineStr">
        <is>
          <t>어벤투스</t>
        </is>
      </c>
      <c r="F58" s="5" t="inlineStr">
        <is>
          <t>EDP</t>
        </is>
      </c>
      <c r="G58" s="5" t="inlineStr">
        <is>
          <t>Bergamot, Blackcurrant, Apple, Pineapple</t>
        </is>
      </c>
      <c r="H58" s="5" t="inlineStr">
        <is>
          <t>Jasmine, Birch, Patchouli</t>
        </is>
      </c>
      <c r="I58" s="5" t="inlineStr">
        <is>
          <t>Oakmoss, Musk, Ambergris, Vanilla</t>
        </is>
      </c>
      <c r="J58" s="6" t="n"/>
      <c r="K58" s="5" t="inlineStr">
        <is>
          <t>fruity</t>
        </is>
      </c>
      <c r="L58" s="5" t="inlineStr">
        <is>
          <t>woody, musk</t>
        </is>
      </c>
      <c r="M58" s="5" t="inlineStr">
        <is>
          <t>fresh, deep, elegant</t>
        </is>
      </c>
      <c r="N58" s="5" t="n"/>
      <c r="O58" s="5" t="inlineStr">
        <is>
          <t>strong</t>
        </is>
      </c>
      <c r="P58" s="5" t="inlineStr">
        <is>
          <t>mid</t>
        </is>
      </c>
      <c r="Q58" s="5" t="inlineStr">
        <is>
          <t>사계절 · 격식</t>
        </is>
      </c>
      <c r="R58" s="5" t="inlineStr">
        <is>
          <t>파인애플과 스모키한 나무 향이 어우러진 자신감 있는 향</t>
        </is>
      </c>
      <c r="S58" s="5" t="inlineStr">
        <is>
          <t>시간이 지나면 이끼와 머스크가 깔끔하게 남아요</t>
        </is>
      </c>
      <c r="T58" s="5" t="inlineStr">
        <is>
          <t>첫 향의 파인애플이 스모키하게 변하는 흐름을 맡아보세요</t>
        </is>
      </c>
      <c r="U58" s="6" t="n"/>
      <c r="V58" s="6" t="n"/>
      <c r="W58" s="6" t="n"/>
      <c r="X58" s="6" t="n"/>
      <c r="Y58" s="4" t="inlineStr">
        <is>
          <t>크리드 백화점</t>
        </is>
      </c>
      <c r="Z58" s="6" t="inlineStr">
        <is>
          <t>[확인 필요]</t>
        </is>
      </c>
      <c r="AA58" s="6" t="n"/>
      <c r="AB58" s="6" t="n"/>
      <c r="AC58" s="4" t="inlineStr">
        <is>
          <t>AI 초안 (공식 확인 전)</t>
        </is>
      </c>
      <c r="AD58" s="4" t="inlineStr">
        <is>
          <t>노트·농도 공식 확인 / 국내 정가 / 이미지 / 시향 가능 채널</t>
        </is>
      </c>
    </row>
    <row r="59">
      <c r="A59" s="4" t="inlineStr">
        <is>
          <t>creed-green-irish-tweed</t>
        </is>
      </c>
      <c r="B59" s="4" t="inlineStr">
        <is>
          <t>Creed</t>
        </is>
      </c>
      <c r="C59" s="5" t="inlineStr">
        <is>
          <t>크리드</t>
        </is>
      </c>
      <c r="D59" s="4" t="inlineStr">
        <is>
          <t>Green Irish Tweed</t>
        </is>
      </c>
      <c r="E59" s="5" t="inlineStr">
        <is>
          <t>그린 아이리시 트위드</t>
        </is>
      </c>
      <c r="F59" s="5" t="inlineStr">
        <is>
          <t>EDP</t>
        </is>
      </c>
      <c r="G59" s="5" t="inlineStr">
        <is>
          <t>Lemon, Verbena</t>
        </is>
      </c>
      <c r="H59" s="5" t="inlineStr">
        <is>
          <t>Iris, Violet Leaf</t>
        </is>
      </c>
      <c r="I59" s="5" t="inlineStr">
        <is>
          <t>Sandalwood, Ambergris, Musk</t>
        </is>
      </c>
      <c r="J59" s="6" t="n"/>
      <c r="K59" s="5" t="inlineStr">
        <is>
          <t>green</t>
        </is>
      </c>
      <c r="L59" s="5" t="inlineStr">
        <is>
          <t>citrus, aromatic</t>
        </is>
      </c>
      <c r="M59" s="5" t="inlineStr">
        <is>
          <t>fresh, clean, cool</t>
        </is>
      </c>
      <c r="N59" s="5" t="n"/>
      <c r="O59" s="5" t="inlineStr">
        <is>
          <t>medium</t>
        </is>
      </c>
      <c r="P59" s="5" t="inlineStr">
        <is>
          <t>low</t>
        </is>
      </c>
      <c r="Q59" s="5" t="inlineStr">
        <is>
          <t>봄·여름 · 출근</t>
        </is>
      </c>
      <c r="R59" s="5" t="inlineStr">
        <is>
          <t>아침 풀밭 같은 싱그럽고 깨끗한 초록 향</t>
        </is>
      </c>
      <c r="S59" s="5" t="inlineStr">
        <is>
          <t>몇 시간 뒤엔 부드러운 나무와 머스크가 남아요</t>
        </is>
      </c>
      <c r="T59" s="5" t="inlineStr">
        <is>
          <t>레몬 버베나의 풋풋함이 얼마나 가는지 확인해 보세요</t>
        </is>
      </c>
      <c r="U59" s="6" t="n"/>
      <c r="V59" s="6" t="n"/>
      <c r="W59" s="6" t="n"/>
      <c r="X59" s="6" t="n"/>
      <c r="Y59" s="4" t="inlineStr">
        <is>
          <t>크리드 백화점</t>
        </is>
      </c>
      <c r="Z59" s="6" t="inlineStr">
        <is>
          <t>[확인 필요]</t>
        </is>
      </c>
      <c r="AA59" s="6" t="n"/>
      <c r="AB59" s="6" t="n"/>
      <c r="AC59" s="4" t="inlineStr">
        <is>
          <t>AI 초안 (공식 확인 전)</t>
        </is>
      </c>
      <c r="AD59" s="4" t="inlineStr">
        <is>
          <t>노트·농도 공식 확인 / 국내 정가 / 이미지 / 시향 가능 채널</t>
        </is>
      </c>
    </row>
    <row r="60">
      <c r="A60" s="4" t="inlineStr">
        <is>
          <t>creed-silver-mountain-water</t>
        </is>
      </c>
      <c r="B60" s="4" t="inlineStr">
        <is>
          <t>Creed</t>
        </is>
      </c>
      <c r="C60" s="5" t="inlineStr">
        <is>
          <t>크리드</t>
        </is>
      </c>
      <c r="D60" s="4" t="inlineStr">
        <is>
          <t>Silver Mountain Water</t>
        </is>
      </c>
      <c r="E60" s="5" t="inlineStr">
        <is>
          <t>실버 마운틴 워터</t>
        </is>
      </c>
      <c r="F60" s="5" t="inlineStr">
        <is>
          <t>EDP</t>
        </is>
      </c>
      <c r="G60" s="5" t="inlineStr">
        <is>
          <t>Bergamot, Mandarin</t>
        </is>
      </c>
      <c r="H60" s="5" t="inlineStr">
        <is>
          <t>Green Tea, Blackcurrant</t>
        </is>
      </c>
      <c r="I60" s="5" t="inlineStr">
        <is>
          <t>Sandalwood, Musk</t>
        </is>
      </c>
      <c r="J60" s="6" t="n"/>
      <c r="K60" s="5" t="inlineStr">
        <is>
          <t>aqua</t>
        </is>
      </c>
      <c r="L60" s="5" t="inlineStr">
        <is>
          <t>citrus, green</t>
        </is>
      </c>
      <c r="M60" s="5" t="inlineStr">
        <is>
          <t>cool, fresh, clean</t>
        </is>
      </c>
      <c r="N60" s="5" t="n"/>
      <c r="O60" s="5" t="inlineStr">
        <is>
          <t>medium</t>
        </is>
      </c>
      <c r="P60" s="5" t="inlineStr">
        <is>
          <t>low</t>
        </is>
      </c>
      <c r="Q60" s="5" t="inlineStr">
        <is>
          <t>여름 · 데일리</t>
        </is>
      </c>
      <c r="R60" s="5" t="inlineStr">
        <is>
          <t>눈 덮인 산의 맑은 물 같은 시원하고 투명한 향</t>
        </is>
      </c>
      <c r="S60" s="5" t="inlineStr">
        <is>
          <t>시간이 지나면 깨끗한 머스크와 나무 향이 남아요</t>
        </is>
      </c>
      <c r="T60" s="5" t="inlineStr">
        <is>
          <t>시원한 첫 향이 차 향으로 이어지는지 맡아보세요</t>
        </is>
      </c>
      <c r="U60" s="6" t="n"/>
      <c r="V60" s="6" t="n"/>
      <c r="W60" s="6" t="n"/>
      <c r="X60" s="6" t="n"/>
      <c r="Y60" s="4" t="inlineStr">
        <is>
          <t>크리드 백화점</t>
        </is>
      </c>
      <c r="Z60" s="6" t="inlineStr">
        <is>
          <t>[확인 필요]</t>
        </is>
      </c>
      <c r="AA60" s="6" t="n"/>
      <c r="AB60" s="6" t="n"/>
      <c r="AC60" s="4" t="inlineStr">
        <is>
          <t>AI 초안 (공식 확인 전)</t>
        </is>
      </c>
      <c r="AD60" s="4" t="inlineStr">
        <is>
          <t>노트·농도 공식 확인 / 국내 정가 / 이미지 / 시향 가능 채널</t>
        </is>
      </c>
    </row>
    <row r="61">
      <c r="A61" s="4" t="inlineStr">
        <is>
          <t>creed-millesime-imperial</t>
        </is>
      </c>
      <c r="B61" s="4" t="inlineStr">
        <is>
          <t>Creed</t>
        </is>
      </c>
      <c r="C61" s="5" t="inlineStr">
        <is>
          <t>크리드</t>
        </is>
      </c>
      <c r="D61" s="4" t="inlineStr">
        <is>
          <t>Millésime Impérial</t>
        </is>
      </c>
      <c r="E61" s="5" t="inlineStr">
        <is>
          <t>밀레짐 임페리얼</t>
        </is>
      </c>
      <c r="F61" s="5" t="inlineStr">
        <is>
          <t>EDP</t>
        </is>
      </c>
      <c r="G61" s="5" t="inlineStr">
        <is>
          <t>Bergamot, Lemon, Mandarin</t>
        </is>
      </c>
      <c r="H61" s="5" t="inlineStr">
        <is>
          <t>Sea Notes, Iris</t>
        </is>
      </c>
      <c r="I61" s="5" t="inlineStr">
        <is>
          <t>Musk, Sandalwood, Ambergris</t>
        </is>
      </c>
      <c r="J61" s="6" t="n"/>
      <c r="K61" s="5" t="inlineStr">
        <is>
          <t>aqua</t>
        </is>
      </c>
      <c r="L61" s="5" t="inlineStr">
        <is>
          <t>citrus</t>
        </is>
      </c>
      <c r="M61" s="5" t="inlineStr">
        <is>
          <t>cool, fresh, clean</t>
        </is>
      </c>
      <c r="N61" s="5" t="n"/>
      <c r="O61" s="5" t="inlineStr">
        <is>
          <t>medium</t>
        </is>
      </c>
      <c r="P61" s="5" t="inlineStr">
        <is>
          <t>low</t>
        </is>
      </c>
      <c r="Q61" s="5" t="inlineStr">
        <is>
          <t>여름 · 출근</t>
        </is>
      </c>
      <c r="R61" s="5" t="inlineStr">
        <is>
          <t>햇살 아래 바다를 떠올리는 시트러스 향</t>
        </is>
      </c>
      <c r="S61" s="5" t="inlineStr">
        <is>
          <t>몇 시간 뒤엔 깨끗한 머스크와 가벼운 나무 향이 남아요</t>
        </is>
      </c>
      <c r="T61" s="5" t="inlineStr">
        <is>
          <t>시트러스와 바다 향의 균형을 맡아보세요</t>
        </is>
      </c>
      <c r="U61" s="6" t="n"/>
      <c r="V61" s="6" t="n"/>
      <c r="W61" s="6" t="n"/>
      <c r="X61" s="6" t="n"/>
      <c r="Y61" s="4" t="inlineStr">
        <is>
          <t>크리드 백화점</t>
        </is>
      </c>
      <c r="Z61" s="6" t="inlineStr">
        <is>
          <t>[확인 필요]</t>
        </is>
      </c>
      <c r="AA61" s="6" t="n"/>
      <c r="AB61" s="6" t="n"/>
      <c r="AC61" s="4" t="inlineStr">
        <is>
          <t>AI 초안 (공식 확인 전)</t>
        </is>
      </c>
      <c r="AD61" s="4" t="inlineStr">
        <is>
          <t>노트·농도 공식 확인 / 국내 정가 / 이미지 / 시향 가능 채널</t>
        </is>
      </c>
    </row>
    <row r="62">
      <c r="A62" s="4" t="inlineStr">
        <is>
          <t>frederic-malle-portrait-of-a-lady</t>
        </is>
      </c>
      <c r="B62" s="4" t="inlineStr">
        <is>
          <t>Frédéric Malle</t>
        </is>
      </c>
      <c r="C62" s="5" t="inlineStr">
        <is>
          <t>프레데릭 말</t>
        </is>
      </c>
      <c r="D62" s="4" t="inlineStr">
        <is>
          <t>Portrait of a Lady</t>
        </is>
      </c>
      <c r="E62" s="5" t="inlineStr">
        <is>
          <t>포트레이트 오브 어 레이디</t>
        </is>
      </c>
      <c r="F62" s="5" t="inlineStr">
        <is>
          <t>EDP</t>
        </is>
      </c>
      <c r="G62" s="5" t="inlineStr">
        <is>
          <t>Rose, Blackcurrant, Raspberry</t>
        </is>
      </c>
      <c r="H62" s="5" t="inlineStr">
        <is>
          <t>Cinnamon, Clove</t>
        </is>
      </c>
      <c r="I62" s="5" t="inlineStr">
        <is>
          <t>Patchouli, Incense, Sandalwood, Musk, Benzoin</t>
        </is>
      </c>
      <c r="J62" s="6" t="n"/>
      <c r="K62" s="5" t="inlineStr">
        <is>
          <t>floral</t>
        </is>
      </c>
      <c r="L62" s="5" t="inlineStr">
        <is>
          <t>spicy, woody, amber</t>
        </is>
      </c>
      <c r="M62" s="5" t="inlineStr">
        <is>
          <t>elegant, deep, warm, sensual</t>
        </is>
      </c>
      <c r="N62" s="5" t="inlineStr">
        <is>
          <t>tooStrong, heavyFloral</t>
        </is>
      </c>
      <c r="O62" s="5" t="inlineStr">
        <is>
          <t>strong</t>
        </is>
      </c>
      <c r="P62" s="5" t="inlineStr">
        <is>
          <t>high</t>
        </is>
      </c>
      <c r="Q62" s="5" t="inlineStr">
        <is>
          <t>가을·겨울 · 격식</t>
        </is>
      </c>
      <c r="R62" s="5" t="inlineStr">
        <is>
          <t>깊고 진한 장미에 향신료와 인센스가 어우러진 향</t>
        </is>
      </c>
      <c r="S62" s="5" t="inlineStr">
        <is>
          <t>시간이 지나도 장미와 패출리가 아주 오래 남아요</t>
        </is>
      </c>
      <c r="T62" s="5" t="inlineStr">
        <is>
          <t>진한 장미 향이 부담스럽지 않은지 맡아보세요</t>
        </is>
      </c>
      <c r="U62" s="6" t="n"/>
      <c r="V62" s="6" t="n"/>
      <c r="W62" s="6" t="n"/>
      <c r="X62" s="6" t="n"/>
      <c r="Y62" s="4" t="inlineStr">
        <is>
          <t>프레데릭 말 백화점</t>
        </is>
      </c>
      <c r="Z62" s="6" t="inlineStr">
        <is>
          <t>[확인 필요]</t>
        </is>
      </c>
      <c r="AA62" s="6" t="n"/>
      <c r="AB62" s="6" t="n"/>
      <c r="AC62" s="4" t="inlineStr">
        <is>
          <t>AI 초안 (공식 확인 전)</t>
        </is>
      </c>
      <c r="AD62" s="4" t="inlineStr">
        <is>
          <t>노트·농도 공식 확인 / 국내 정가 / 이미지 / 시향 가능 채널</t>
        </is>
      </c>
    </row>
    <row r="63">
      <c r="A63" s="4" t="inlineStr">
        <is>
          <t>frederic-malle-musc-ravageur</t>
        </is>
      </c>
      <c r="B63" s="4" t="inlineStr">
        <is>
          <t>Frédéric Malle</t>
        </is>
      </c>
      <c r="C63" s="5" t="inlineStr">
        <is>
          <t>프레데릭 말</t>
        </is>
      </c>
      <c r="D63" s="4" t="inlineStr">
        <is>
          <t>Musc Ravageur</t>
        </is>
      </c>
      <c r="E63" s="5" t="inlineStr">
        <is>
          <t>뮈스크 라바쥐르</t>
        </is>
      </c>
      <c r="F63" s="5" t="inlineStr">
        <is>
          <t>EDP</t>
        </is>
      </c>
      <c r="G63" s="5" t="inlineStr">
        <is>
          <t>Bergamot, Mandarin, Lavender</t>
        </is>
      </c>
      <c r="H63" s="5" t="inlineStr">
        <is>
          <t>Cinnamon, Clove</t>
        </is>
      </c>
      <c r="I63" s="5" t="inlineStr">
        <is>
          <t>Musk, Vanilla, Sandalwood, Amber, Cedar</t>
        </is>
      </c>
      <c r="J63" s="6" t="n"/>
      <c r="K63" s="5" t="inlineStr">
        <is>
          <t>musk</t>
        </is>
      </c>
      <c r="L63" s="5" t="inlineStr">
        <is>
          <t>spicy, amber, gourmand</t>
        </is>
      </c>
      <c r="M63" s="5" t="inlineStr">
        <is>
          <t>warm, cozy, deep, sensual</t>
        </is>
      </c>
      <c r="N63" s="5" t="inlineStr">
        <is>
          <t>tooStrong</t>
        </is>
      </c>
      <c r="O63" s="5" t="inlineStr">
        <is>
          <t>strong</t>
        </is>
      </c>
      <c r="P63" s="5" t="inlineStr">
        <is>
          <t>high</t>
        </is>
      </c>
      <c r="Q63" s="5" t="inlineStr">
        <is>
          <t>가을·겨울 · 저녁</t>
        </is>
      </c>
      <c r="R63" s="5" t="inlineStr">
        <is>
          <t>따뜻한 살결에 향신료와 바닐라가 스며든 향</t>
        </is>
      </c>
      <c r="S63" s="5" t="inlineStr">
        <is>
          <t>시간이 지나도 포근한 머스크가 오래 남아요</t>
        </is>
      </c>
      <c r="T63" s="5" t="inlineStr">
        <is>
          <t>머스크가 달콤하고 진한 정도를 확인해 보세요</t>
        </is>
      </c>
      <c r="U63" s="6" t="n"/>
      <c r="V63" s="6" t="n"/>
      <c r="W63" s="6" t="n"/>
      <c r="X63" s="6" t="n"/>
      <c r="Y63" s="4" t="inlineStr">
        <is>
          <t>프레데릭 말 백화점</t>
        </is>
      </c>
      <c r="Z63" s="6" t="inlineStr">
        <is>
          <t>[확인 필요]</t>
        </is>
      </c>
      <c r="AA63" s="6" t="n"/>
      <c r="AB63" s="6" t="n"/>
      <c r="AC63" s="4" t="inlineStr">
        <is>
          <t>AI 초안 (공식 확인 전)</t>
        </is>
      </c>
      <c r="AD63" s="4" t="inlineStr">
        <is>
          <t>노트·농도 공식 확인 / 국내 정가 / 이미지 / 시향 가능 채널</t>
        </is>
      </c>
    </row>
    <row r="64">
      <c r="A64" s="4" t="inlineStr">
        <is>
          <t>frederic-malle-carnal-flower</t>
        </is>
      </c>
      <c r="B64" s="4" t="inlineStr">
        <is>
          <t>Frédéric Malle</t>
        </is>
      </c>
      <c r="C64" s="5" t="inlineStr">
        <is>
          <t>프레데릭 말</t>
        </is>
      </c>
      <c r="D64" s="4" t="inlineStr">
        <is>
          <t>Carnal Flower</t>
        </is>
      </c>
      <c r="E64" s="5" t="inlineStr">
        <is>
          <t>카널 플라워</t>
        </is>
      </c>
      <c r="F64" s="5" t="inlineStr">
        <is>
          <t>EDP</t>
        </is>
      </c>
      <c r="G64" s="5" t="inlineStr">
        <is>
          <t>Bergamot, Coconut</t>
        </is>
      </c>
      <c r="H64" s="5" t="inlineStr">
        <is>
          <t>Tuberose, Jasmine, Ylang-Ylang</t>
        </is>
      </c>
      <c r="I64" s="5" t="inlineStr">
        <is>
          <t>Musk, Sandalwood</t>
        </is>
      </c>
      <c r="J64" s="6" t="n"/>
      <c r="K64" s="5" t="inlineStr">
        <is>
          <t>whiteFloral</t>
        </is>
      </c>
      <c r="L64" s="5" t="inlineStr">
        <is>
          <t>floral</t>
        </is>
      </c>
      <c r="M64" s="5" t="inlineStr">
        <is>
          <t>elegant, warm, sensual</t>
        </is>
      </c>
      <c r="N64" s="5" t="inlineStr">
        <is>
          <t>heavyFloral, tooStrong</t>
        </is>
      </c>
      <c r="O64" s="5" t="inlineStr">
        <is>
          <t>strong</t>
        </is>
      </c>
      <c r="P64" s="5" t="inlineStr">
        <is>
          <t>high</t>
        </is>
      </c>
      <c r="Q64" s="5" t="inlineStr">
        <is>
          <t>여름 · 저녁</t>
        </is>
      </c>
      <c r="R64" s="5" t="inlineStr">
        <is>
          <t>튜베로즈가 가득 피어난 진하고 관능적인 꽃 향</t>
        </is>
      </c>
      <c r="S64" s="5" t="inlineStr">
        <is>
          <t>시간이 지나도 하얀 꽃 향이 크리미하게 남아요</t>
        </is>
      </c>
      <c r="T64" s="5" t="inlineStr">
        <is>
          <t>꽃 향의 진한 정도가 부담스럽지 않은지 확인해 보세요</t>
        </is>
      </c>
      <c r="U64" s="6" t="n"/>
      <c r="V64" s="6" t="n"/>
      <c r="W64" s="6" t="n"/>
      <c r="X64" s="6" t="n"/>
      <c r="Y64" s="4" t="inlineStr">
        <is>
          <t>프레데릭 말 백화점</t>
        </is>
      </c>
      <c r="Z64" s="6" t="inlineStr">
        <is>
          <t>[확인 필요]</t>
        </is>
      </c>
      <c r="AA64" s="6" t="n"/>
      <c r="AB64" s="6" t="n"/>
      <c r="AC64" s="4" t="inlineStr">
        <is>
          <t>AI 초안 (공식 확인 전)</t>
        </is>
      </c>
      <c r="AD64" s="4" t="inlineStr">
        <is>
          <t>노트·농도 공식 확인 / 국내 정가 / 이미지 / 시향 가능 채널</t>
        </is>
      </c>
    </row>
    <row r="65">
      <c r="A65" s="4" t="inlineStr">
        <is>
          <t>frederic-malle-en-passant</t>
        </is>
      </c>
      <c r="B65" s="4" t="inlineStr">
        <is>
          <t>Frédéric Malle</t>
        </is>
      </c>
      <c r="C65" s="5" t="inlineStr">
        <is>
          <t>프레데릭 말</t>
        </is>
      </c>
      <c r="D65" s="4" t="inlineStr">
        <is>
          <t>En Passant</t>
        </is>
      </c>
      <c r="E65" s="5" t="inlineStr">
        <is>
          <t>앙 파상</t>
        </is>
      </c>
      <c r="F65" s="5" t="inlineStr">
        <is>
          <t>EDP</t>
        </is>
      </c>
      <c r="G65" s="5" t="inlineStr">
        <is>
          <t>Cucumber</t>
        </is>
      </c>
      <c r="H65" s="5" t="inlineStr">
        <is>
          <t>Lilac, Iris</t>
        </is>
      </c>
      <c r="I65" s="5" t="inlineStr">
        <is>
          <t>Sandalwood, Musk</t>
        </is>
      </c>
      <c r="J65" s="6" t="n"/>
      <c r="K65" s="5" t="inlineStr">
        <is>
          <t>green</t>
        </is>
      </c>
      <c r="L65" s="5" t="inlineStr">
        <is>
          <t>floral, powdery</t>
        </is>
      </c>
      <c r="M65" s="5" t="inlineStr">
        <is>
          <t>fresh, soft, calm</t>
        </is>
      </c>
      <c r="N65" s="5" t="inlineStr">
        <is>
          <t>powdery</t>
        </is>
      </c>
      <c r="O65" s="5" t="inlineStr">
        <is>
          <t>light</t>
        </is>
      </c>
      <c r="P65" s="5" t="inlineStr">
        <is>
          <t>mid</t>
        </is>
      </c>
      <c r="Q65" s="5" t="inlineStr">
        <is>
          <t>봄 · 산책</t>
        </is>
      </c>
      <c r="R65" s="5" t="inlineStr">
        <is>
          <t>봄날 라일락 길을 지나가는 듯한 싱그러운 향</t>
        </is>
      </c>
      <c r="S65" s="5" t="inlineStr">
        <is>
          <t>시간이 지나면 보송한 분내가 가볍게 남아요</t>
        </is>
      </c>
      <c r="T65" s="5" t="inlineStr">
        <is>
          <t>오이의 서늘함과 라일락의 보송함이 맞는지 맡아보세요</t>
        </is>
      </c>
      <c r="U65" s="6" t="n"/>
      <c r="V65" s="6" t="n"/>
      <c r="W65" s="6" t="n"/>
      <c r="X65" s="6" t="n"/>
      <c r="Y65" s="4" t="inlineStr">
        <is>
          <t>프레데릭 말 백화점</t>
        </is>
      </c>
      <c r="Z65" s="6" t="inlineStr">
        <is>
          <t>[확인 필요]</t>
        </is>
      </c>
      <c r="AA65" s="6" t="n"/>
      <c r="AB65" s="6" t="n"/>
      <c r="AC65" s="4" t="inlineStr">
        <is>
          <t>AI 초안 (공식 확인 전)</t>
        </is>
      </c>
      <c r="AD65" s="4" t="inlineStr">
        <is>
          <t>노트·농도 공식 확인 / 국내 정가 / 이미지 / 시향 가능 채널</t>
        </is>
      </c>
    </row>
    <row r="66">
      <c r="A66" s="4" t="inlineStr">
        <is>
          <t>frederic-malle-lipstick-rose</t>
        </is>
      </c>
      <c r="B66" s="4" t="inlineStr">
        <is>
          <t>Frédéric Malle</t>
        </is>
      </c>
      <c r="C66" s="5" t="inlineStr">
        <is>
          <t>프레데릭 말</t>
        </is>
      </c>
      <c r="D66" s="4" t="inlineStr">
        <is>
          <t>Lipstick Rose</t>
        </is>
      </c>
      <c r="E66" s="5" t="inlineStr">
        <is>
          <t>립스틱 로즈</t>
        </is>
      </c>
      <c r="F66" s="5" t="inlineStr">
        <is>
          <t>EDP</t>
        </is>
      </c>
      <c r="G66" s="5" t="inlineStr">
        <is>
          <t>Raspberry, Rose</t>
        </is>
      </c>
      <c r="H66" s="5" t="inlineStr">
        <is>
          <t>Violet, Iris</t>
        </is>
      </c>
      <c r="I66" s="5" t="inlineStr">
        <is>
          <t>Musk, Vanilla</t>
        </is>
      </c>
      <c r="J66" s="6" t="n"/>
      <c r="K66" s="5" t="inlineStr">
        <is>
          <t>powdery</t>
        </is>
      </c>
      <c r="L66" s="5" t="inlineStr">
        <is>
          <t>floral, fruity</t>
        </is>
      </c>
      <c r="M66" s="5" t="inlineStr">
        <is>
          <t>soft, elegant, sweet, lovely</t>
        </is>
      </c>
      <c r="N66" s="5" t="inlineStr">
        <is>
          <t>powdery</t>
        </is>
      </c>
      <c r="O66" s="5" t="inlineStr">
        <is>
          <t>medium</t>
        </is>
      </c>
      <c r="P66" s="5" t="inlineStr">
        <is>
          <t>mid</t>
        </is>
      </c>
      <c r="Q66" s="5" t="inlineStr">
        <is>
          <t>봄·가을 · 데이트</t>
        </is>
      </c>
      <c r="R66" s="5" t="inlineStr">
        <is>
          <t>립스틱처럼 보송하고 달콤한 장미 향</t>
        </is>
      </c>
      <c r="S66" s="5" t="inlineStr">
        <is>
          <t>시간이 지나면 보송한 바닐라 머스크가 남아요</t>
        </is>
      </c>
      <c r="T66" s="5" t="inlineStr">
        <is>
          <t>화장품 같은 분 느낌이 마음에 드는지 확인해 보세요</t>
        </is>
      </c>
      <c r="U66" s="6" t="n"/>
      <c r="V66" s="6" t="n"/>
      <c r="W66" s="6" t="n"/>
      <c r="X66" s="6" t="n"/>
      <c r="Y66" s="4" t="inlineStr">
        <is>
          <t>프레데릭 말 백화점</t>
        </is>
      </c>
      <c r="Z66" s="6" t="inlineStr">
        <is>
          <t>[확인 필요]</t>
        </is>
      </c>
      <c r="AA66" s="6" t="n"/>
      <c r="AB66" s="6" t="n"/>
      <c r="AC66" s="4" t="inlineStr">
        <is>
          <t>AI 초안 (공식 확인 전)</t>
        </is>
      </c>
      <c r="AD66" s="4" t="inlineStr">
        <is>
          <t>노트·농도 공식 확인 / 국내 정가 / 이미지 / 시향 가능 채널</t>
        </is>
      </c>
    </row>
    <row r="67">
      <c r="A67" s="4" t="inlineStr">
        <is>
          <t>annick-goutal-eau-d-hadrien</t>
        </is>
      </c>
      <c r="B67" s="4" t="inlineStr">
        <is>
          <t>Annick Goutal</t>
        </is>
      </c>
      <c r="C67" s="5" t="inlineStr">
        <is>
          <t>아닉 구딸</t>
        </is>
      </c>
      <c r="D67" s="4" t="inlineStr">
        <is>
          <t>Eau d'Hadrien</t>
        </is>
      </c>
      <c r="E67" s="5" t="inlineStr">
        <is>
          <t>오 드 아드리앵</t>
        </is>
      </c>
      <c r="F67" s="5" t="inlineStr">
        <is>
          <t>EDP</t>
        </is>
      </c>
      <c r="G67" s="5" t="inlineStr">
        <is>
          <t>Lemon, Grapefruit</t>
        </is>
      </c>
      <c r="H67" s="5" t="inlineStr">
        <is>
          <t>Cypress, Pine Needles</t>
        </is>
      </c>
      <c r="I67" s="5" t="inlineStr">
        <is>
          <t>Cedar</t>
        </is>
      </c>
      <c r="J67" s="6" t="n"/>
      <c r="K67" s="5" t="inlineStr">
        <is>
          <t>citrus</t>
        </is>
      </c>
      <c r="L67" s="5" t="inlineStr">
        <is>
          <t>woody</t>
        </is>
      </c>
      <c r="M67" s="5" t="inlineStr">
        <is>
          <t>zesty, fresh, cool</t>
        </is>
      </c>
      <c r="N67" s="5" t="n"/>
      <c r="O67" s="5" t="inlineStr">
        <is>
          <t>light</t>
        </is>
      </c>
      <c r="P67" s="5" t="inlineStr">
        <is>
          <t>low</t>
        </is>
      </c>
      <c r="Q67" s="5" t="inlineStr">
        <is>
          <t>여름 · 데일리</t>
        </is>
      </c>
      <c r="R67" s="5" t="inlineStr">
        <is>
          <t>지중해 레몬 나무 같은 맑고 상큼한 향</t>
        </is>
      </c>
      <c r="S67" s="5" t="inlineStr">
        <is>
          <t>몇 시간 뒤엔 가벼운 시더 향만 남아요</t>
        </is>
      </c>
      <c r="T67" s="5" t="inlineStr">
        <is>
          <t>레몬과 사이프러스의 시원함을 맡아보세요</t>
        </is>
      </c>
      <c r="U67" s="6" t="n"/>
      <c r="V67" s="6" t="n"/>
      <c r="W67" s="6" t="n"/>
      <c r="X67" s="6" t="n"/>
      <c r="Y67" s="4" t="inlineStr">
        <is>
          <t>아닉 구딸 백화점</t>
        </is>
      </c>
      <c r="Z67" s="6" t="inlineStr">
        <is>
          <t>[확인 필요]</t>
        </is>
      </c>
      <c r="AA67" s="6" t="n"/>
      <c r="AB67" s="6" t="n"/>
      <c r="AC67" s="4" t="inlineStr">
        <is>
          <t>AI 초안 (공식 확인 전)</t>
        </is>
      </c>
      <c r="AD67" s="4" t="inlineStr">
        <is>
          <t>노트·농도 공식 확인 / 국내 정가 / 이미지 / 시향 가능 채널</t>
        </is>
      </c>
    </row>
    <row r="68">
      <c r="A68" s="4" t="inlineStr">
        <is>
          <t>annick-goutal-petite-cherie</t>
        </is>
      </c>
      <c r="B68" s="4" t="inlineStr">
        <is>
          <t>Annick Goutal</t>
        </is>
      </c>
      <c r="C68" s="5" t="inlineStr">
        <is>
          <t>아닉 구딸</t>
        </is>
      </c>
      <c r="D68" s="4" t="inlineStr">
        <is>
          <t>Petite Chérie</t>
        </is>
      </c>
      <c r="E68" s="5" t="inlineStr">
        <is>
          <t>쁘띠 셰리</t>
        </is>
      </c>
      <c r="F68" s="5" t="inlineStr">
        <is>
          <t>EDP</t>
        </is>
      </c>
      <c r="G68" s="5" t="inlineStr">
        <is>
          <t>Pear, Peach</t>
        </is>
      </c>
      <c r="H68" s="5" t="inlineStr">
        <is>
          <t>Rose</t>
        </is>
      </c>
      <c r="I68" s="5" t="inlineStr">
        <is>
          <t>Musk, Vanilla, Patchouli</t>
        </is>
      </c>
      <c r="J68" s="6" t="n"/>
      <c r="K68" s="5" t="inlineStr">
        <is>
          <t>fruity</t>
        </is>
      </c>
      <c r="L68" s="5" t="inlineStr">
        <is>
          <t>floral</t>
        </is>
      </c>
      <c r="M68" s="5" t="inlineStr">
        <is>
          <t>sweet, soft, fresh, lovely</t>
        </is>
      </c>
      <c r="N68" s="5" t="n"/>
      <c r="O68" s="5" t="inlineStr">
        <is>
          <t>light</t>
        </is>
      </c>
      <c r="P68" s="5" t="inlineStr">
        <is>
          <t>low</t>
        </is>
      </c>
      <c r="Q68" s="5" t="inlineStr">
        <is>
          <t>봄 · 데일리</t>
        </is>
      </c>
      <c r="R68" s="5" t="inlineStr">
        <is>
          <t>잘 익은 배와 복숭아에 장미가 어우러진 사랑스러운 향</t>
        </is>
      </c>
      <c r="S68" s="5" t="inlineStr">
        <is>
          <t>시간이 지나면 부드러운 머스크와 바닐라가 남아요</t>
        </is>
      </c>
      <c r="T68" s="5" t="inlineStr">
        <is>
          <t>과일 향이 달콤한 정도를 확인해 보세요</t>
        </is>
      </c>
      <c r="U68" s="6" t="n"/>
      <c r="V68" s="6" t="n"/>
      <c r="W68" s="6" t="n"/>
      <c r="X68" s="6" t="n"/>
      <c r="Y68" s="4" t="inlineStr">
        <is>
          <t>아닉 구딸 백화점</t>
        </is>
      </c>
      <c r="Z68" s="6" t="inlineStr">
        <is>
          <t>[확인 필요]</t>
        </is>
      </c>
      <c r="AA68" s="6" t="n"/>
      <c r="AB68" s="6" t="n"/>
      <c r="AC68" s="4" t="inlineStr">
        <is>
          <t>AI 초안 (공식 확인 전)</t>
        </is>
      </c>
      <c r="AD68" s="4" t="inlineStr">
        <is>
          <t>노트·농도 공식 확인 / 국내 정가 / 이미지 / 시향 가능 채널</t>
        </is>
      </c>
    </row>
    <row r="69">
      <c r="A69" s="4" t="inlineStr">
        <is>
          <t>aesop-hwyl</t>
        </is>
      </c>
      <c r="B69" s="4" t="inlineStr">
        <is>
          <t>Aesop</t>
        </is>
      </c>
      <c r="C69" s="5" t="inlineStr">
        <is>
          <t>이솝</t>
        </is>
      </c>
      <c r="D69" s="4" t="inlineStr">
        <is>
          <t>Hwyl</t>
        </is>
      </c>
      <c r="E69" s="5" t="inlineStr">
        <is>
          <t>휠</t>
        </is>
      </c>
      <c r="F69" s="5" t="inlineStr">
        <is>
          <t>EDP</t>
        </is>
      </c>
      <c r="G69" s="5" t="inlineStr">
        <is>
          <t>Cypress, Hinoki</t>
        </is>
      </c>
      <c r="H69" s="5" t="inlineStr">
        <is>
          <t>Vetiver</t>
        </is>
      </c>
      <c r="I69" s="5" t="inlineStr">
        <is>
          <t>Incense, Oakmoss, Patchouli</t>
        </is>
      </c>
      <c r="J69" s="6" t="n"/>
      <c r="K69" s="5" t="inlineStr">
        <is>
          <t>woody</t>
        </is>
      </c>
      <c r="L69" s="5" t="inlineStr">
        <is>
          <t>green</t>
        </is>
      </c>
      <c r="M69" s="5" t="inlineStr">
        <is>
          <t>calm, deep, fresh</t>
        </is>
      </c>
      <c r="N69" s="5" t="n"/>
      <c r="O69" s="5" t="inlineStr">
        <is>
          <t>medium</t>
        </is>
      </c>
      <c r="P69" s="5" t="inlineStr">
        <is>
          <t>mid</t>
        </is>
      </c>
      <c r="Q69" s="5" t="inlineStr">
        <is>
          <t>사계절 · 휴식</t>
        </is>
      </c>
      <c r="R69" s="5" t="inlineStr">
        <is>
          <t>숲속 사원 같은 고요하고 깊은 나무 향</t>
        </is>
      </c>
      <c r="S69" s="5" t="inlineStr">
        <is>
          <t>시간이 지나면 이끼와 인센스가 차분하게 남아요</t>
        </is>
      </c>
      <c r="T69" s="5" t="inlineStr">
        <is>
          <t>첫 향의 사이프러스가 이끼 향으로 변하는 흐름을 맡아보세요</t>
        </is>
      </c>
      <c r="U69" s="6" t="n">
        <v>50</v>
      </c>
      <c r="V69" s="10" t="n">
        <v>245000</v>
      </c>
      <c r="W69" s="6" t="inlineStr">
        <is>
          <t>2026-10-07</t>
        </is>
      </c>
      <c r="X69" s="6" t="inlineStr">
        <is>
          <t>https://kr.aesop.com/kr/gifts/fragrant-gifts/silently--hwyl-eau-de-parfum/FR43.html</t>
        </is>
      </c>
      <c r="Y69" s="4" t="inlineStr">
        <is>
          <t>이솝 매장</t>
        </is>
      </c>
      <c r="Z69" s="6" t="inlineStr">
        <is>
          <t>[확인 필요]</t>
        </is>
      </c>
      <c r="AA69" s="6" t="inlineStr">
        <is>
          <t>aesop-hwyl.png</t>
        </is>
      </c>
      <c r="AB69" s="6" t="inlineStr">
        <is>
          <t>https://kr.aesop.com/kr/gifts/fragrant-gifts/silently--hwyl-eau-de-parfum/FR43.html</t>
        </is>
      </c>
      <c r="AC69" s="4" t="inlineStr">
        <is>
          <t>AI 초안 (공식 확인 전)</t>
        </is>
      </c>
      <c r="AD69" s="4" t="inlineStr">
        <is>
          <t>노트·농도 공식 확인 / 시향 가능 채널 / 공식몰 한국 상품명: 사일런틀리, 휠 (Silently, Hwyl) (사용자 확인: 같은 제품)</t>
        </is>
      </c>
    </row>
    <row r="70">
      <c r="A70" s="4" t="inlineStr">
        <is>
          <t>aesop-tacit</t>
        </is>
      </c>
      <c r="B70" s="4" t="inlineStr">
        <is>
          <t>Aesop</t>
        </is>
      </c>
      <c r="C70" s="5" t="inlineStr">
        <is>
          <t>이솝</t>
        </is>
      </c>
      <c r="D70" s="4" t="inlineStr">
        <is>
          <t>Tacit</t>
        </is>
      </c>
      <c r="E70" s="5" t="inlineStr">
        <is>
          <t>타싯</t>
        </is>
      </c>
      <c r="F70" s="5" t="inlineStr">
        <is>
          <t>EDP</t>
        </is>
      </c>
      <c r="G70" s="5" t="inlineStr">
        <is>
          <t>Yuzu, Mandarin, Basil</t>
        </is>
      </c>
      <c r="H70" s="5" t="inlineStr">
        <is>
          <t>Coriander</t>
        </is>
      </c>
      <c r="I70" s="5" t="inlineStr">
        <is>
          <t>Vetiver, Musk</t>
        </is>
      </c>
      <c r="J70" s="6" t="n"/>
      <c r="K70" s="5" t="inlineStr">
        <is>
          <t>citrus</t>
        </is>
      </c>
      <c r="L70" s="5" t="inlineStr">
        <is>
          <t>green, aromatic</t>
        </is>
      </c>
      <c r="M70" s="5" t="inlineStr">
        <is>
          <t>fresh, clean, cool</t>
        </is>
      </c>
      <c r="N70" s="5" t="n"/>
      <c r="O70" s="5" t="inlineStr">
        <is>
          <t>light</t>
        </is>
      </c>
      <c r="P70" s="5" t="inlineStr">
        <is>
          <t>low</t>
        </is>
      </c>
      <c r="Q70" s="5" t="inlineStr">
        <is>
          <t>봄·여름 · 출근</t>
        </is>
      </c>
      <c r="R70" s="5" t="inlineStr">
        <is>
          <t>유자와 바질이 어우러진 맑고 쌉쌀한 시트러스 향</t>
        </is>
      </c>
      <c r="S70" s="5" t="inlineStr">
        <is>
          <t>시간이 지나면 가벼운 베티버가 은은하게 남아요</t>
        </is>
      </c>
      <c r="T70" s="5" t="inlineStr">
        <is>
          <t>유자의 쌉쌀함이 얼마나 가는지 확인해 보세요</t>
        </is>
      </c>
      <c r="U70" s="6" t="n">
        <v>50</v>
      </c>
      <c r="V70" s="10" t="n">
        <v>245000</v>
      </c>
      <c r="W70" s="6" t="inlineStr">
        <is>
          <t>2026-10-07</t>
        </is>
      </c>
      <c r="X70" s="6" t="inlineStr">
        <is>
          <t>https://kr.aesop.com/kr/fragrance/fresh/tacit-truths-eau-de-parfum/FR41.html</t>
        </is>
      </c>
      <c r="Y70" s="4" t="inlineStr">
        <is>
          <t>이솝 매장</t>
        </is>
      </c>
      <c r="Z70" s="6" t="inlineStr">
        <is>
          <t>[확인 필요]</t>
        </is>
      </c>
      <c r="AA70" s="6" t="inlineStr">
        <is>
          <t>aesop-tacit.png</t>
        </is>
      </c>
      <c r="AB70" s="6" t="inlineStr">
        <is>
          <t>https://kr.aesop.com/kr/fragrance/fresh/tacit-truths-eau-de-parfum/FR41.html</t>
        </is>
      </c>
      <c r="AC70" s="4" t="inlineStr">
        <is>
          <t>AI 초안 (공식 확인 전)</t>
        </is>
      </c>
      <c r="AD70" s="4" t="inlineStr">
        <is>
          <t>노트·농도 공식 확인 / 시향 가능 채널 / 공식몰 한국 상품명: 테싯 트루스 (Tacit Truths) (사용자 확인: 같은 제품)</t>
        </is>
      </c>
    </row>
    <row r="71">
      <c r="A71" s="4" t="inlineStr">
        <is>
          <t>parfums-de-marly-delina</t>
        </is>
      </c>
      <c r="B71" s="4" t="inlineStr">
        <is>
          <t>Parfums de Marly</t>
        </is>
      </c>
      <c r="C71" s="5" t="inlineStr">
        <is>
          <t>퍼퓸 드 말리</t>
        </is>
      </c>
      <c r="D71" s="4" t="inlineStr">
        <is>
          <t>Delina</t>
        </is>
      </c>
      <c r="E71" s="5" t="inlineStr">
        <is>
          <t>델리나</t>
        </is>
      </c>
      <c r="F71" s="5" t="inlineStr">
        <is>
          <t>EDP</t>
        </is>
      </c>
      <c r="G71" s="5" t="inlineStr">
        <is>
          <t>Lychee, Rhubarb, Bergamot</t>
        </is>
      </c>
      <c r="H71" s="5" t="inlineStr">
        <is>
          <t>Peony, Rose</t>
        </is>
      </c>
      <c r="I71" s="5" t="inlineStr">
        <is>
          <t>Vanilla, Musk, Cashmeran</t>
        </is>
      </c>
      <c r="J71" s="6" t="n"/>
      <c r="K71" s="5" t="inlineStr">
        <is>
          <t>floral</t>
        </is>
      </c>
      <c r="L71" s="5" t="inlineStr">
        <is>
          <t>fruity, gourmand</t>
        </is>
      </c>
      <c r="M71" s="5" t="inlineStr">
        <is>
          <t>elegant, sweet, soft, lovely</t>
        </is>
      </c>
      <c r="N71" s="5" t="n"/>
      <c r="O71" s="5" t="inlineStr">
        <is>
          <t>medium</t>
        </is>
      </c>
      <c r="P71" s="5" t="inlineStr">
        <is>
          <t>mid</t>
        </is>
      </c>
      <c r="Q71" s="5" t="inlineStr">
        <is>
          <t>봄·가을 · 데이트</t>
        </is>
      </c>
      <c r="R71" s="5" t="inlineStr">
        <is>
          <t>리치와 장미가 어우러진 달콤하고 우아한 꽃 향</t>
        </is>
      </c>
      <c r="S71" s="5" t="inlineStr">
        <is>
          <t>시간이 지나면 부드러운 바닐라 머스크가 남아요</t>
        </is>
      </c>
      <c r="T71" s="5" t="inlineStr">
        <is>
          <t>리치의 새콤함이 장미로 이어지는지 맡아보세요</t>
        </is>
      </c>
      <c r="U71" s="6" t="n"/>
      <c r="V71" s="6" t="n"/>
      <c r="W71" s="6" t="n"/>
      <c r="X71" s="6" t="n"/>
      <c r="Y71" s="4" t="inlineStr">
        <is>
          <t>퍼퓸 드 말리 백화점</t>
        </is>
      </c>
      <c r="Z71" s="6" t="inlineStr">
        <is>
          <t>[확인 필요]</t>
        </is>
      </c>
      <c r="AA71" s="6" t="n"/>
      <c r="AB71" s="6" t="n"/>
      <c r="AC71" s="4" t="inlineStr">
        <is>
          <t>AI 초안 (공식 확인 전)</t>
        </is>
      </c>
      <c r="AD71" s="4" t="inlineStr">
        <is>
          <t>노트·농도 공식 확인 / 국내 정가 / 이미지 / 시향 가능 채널</t>
        </is>
      </c>
    </row>
    <row r="72">
      <c r="A72" s="4" t="inlineStr">
        <is>
          <t>parfums-de-marly-layton</t>
        </is>
      </c>
      <c r="B72" s="4" t="inlineStr">
        <is>
          <t>Parfums de Marly</t>
        </is>
      </c>
      <c r="C72" s="5" t="inlineStr">
        <is>
          <t>퍼퓸 드 말리</t>
        </is>
      </c>
      <c r="D72" s="4" t="inlineStr">
        <is>
          <t>Layton</t>
        </is>
      </c>
      <c r="E72" s="5" t="inlineStr">
        <is>
          <t>레이튼</t>
        </is>
      </c>
      <c r="F72" s="5" t="inlineStr">
        <is>
          <t>EDP</t>
        </is>
      </c>
      <c r="G72" s="5" t="inlineStr">
        <is>
          <t>Apple, Lavender, Bergamot, Mandarin</t>
        </is>
      </c>
      <c r="H72" s="5" t="inlineStr">
        <is>
          <t>Geranium, Violet, Jasmine</t>
        </is>
      </c>
      <c r="I72" s="5" t="inlineStr">
        <is>
          <t>Vanilla, Sandalwood, Guaiac Wood</t>
        </is>
      </c>
      <c r="J72" s="6" t="n"/>
      <c r="K72" s="5" t="inlineStr">
        <is>
          <t>aromatic</t>
        </is>
      </c>
      <c r="L72" s="5" t="inlineStr">
        <is>
          <t>gourmand, spicy</t>
        </is>
      </c>
      <c r="M72" s="5" t="inlineStr">
        <is>
          <t>warm, deep, elegant</t>
        </is>
      </c>
      <c r="N72" s="5" t="inlineStr">
        <is>
          <t>tooSweet</t>
        </is>
      </c>
      <c r="O72" s="5" t="inlineStr">
        <is>
          <t>strong</t>
        </is>
      </c>
      <c r="P72" s="5" t="inlineStr">
        <is>
          <t>mid</t>
        </is>
      </c>
      <c r="Q72" s="5" t="inlineStr">
        <is>
          <t>가을·겨울 · 저녁</t>
        </is>
      </c>
      <c r="R72" s="5" t="inlineStr">
        <is>
          <t>사과와 라벤더에 바닐라가 더해진 따뜻하고 달콤한 향</t>
        </is>
      </c>
      <c r="S72" s="5" t="inlineStr">
        <is>
          <t>시간이 지나도 달콤한 바닐라와 나무 향이 오래 남아요</t>
        </is>
      </c>
      <c r="T72" s="5" t="inlineStr">
        <is>
          <t>첫 향의 사과와 바닐라의 달콤함을 확인해 보세요</t>
        </is>
      </c>
      <c r="U72" s="6" t="n"/>
      <c r="V72" s="6" t="n"/>
      <c r="W72" s="6" t="n"/>
      <c r="X72" s="6" t="n"/>
      <c r="Y72" s="4" t="inlineStr">
        <is>
          <t>퍼퓸 드 말리 백화점</t>
        </is>
      </c>
      <c r="Z72" s="6" t="inlineStr">
        <is>
          <t>[확인 필요]</t>
        </is>
      </c>
      <c r="AA72" s="6" t="n"/>
      <c r="AB72" s="6" t="n"/>
      <c r="AC72" s="4" t="inlineStr">
        <is>
          <t>AI 초안 (공식 확인 전)</t>
        </is>
      </c>
      <c r="AD72" s="4" t="inlineStr">
        <is>
          <t>노트·농도 공식 확인 / 국내 정가 / 이미지 / 시향 가능 채널</t>
        </is>
      </c>
    </row>
    <row r="73">
      <c r="A73" s="4" t="inlineStr">
        <is>
          <t>mfk-aqua-universalis</t>
        </is>
      </c>
      <c r="B73" s="4" t="inlineStr">
        <is>
          <t>Maison Francis Kurkdjian</t>
        </is>
      </c>
      <c r="C73" s="5" t="inlineStr">
        <is>
          <t>메종 프란시스 커정</t>
        </is>
      </c>
      <c r="D73" s="4" t="inlineStr">
        <is>
          <t>Aqua Universalis</t>
        </is>
      </c>
      <c r="E73" s="5" t="inlineStr">
        <is>
          <t>아쿠아 유니버설리스</t>
        </is>
      </c>
      <c r="F73" s="5" t="inlineStr">
        <is>
          <t>EDT</t>
        </is>
      </c>
      <c r="G73" s="5" t="inlineStr">
        <is>
          <t>Bergamot, Lemon</t>
        </is>
      </c>
      <c r="H73" s="5" t="inlineStr">
        <is>
          <t>Lily of the Valley, Orange Blossom</t>
        </is>
      </c>
      <c r="I73" s="5" t="inlineStr">
        <is>
          <t>White Musk</t>
        </is>
      </c>
      <c r="J73" s="6" t="n"/>
      <c r="K73" s="5" t="inlineStr">
        <is>
          <t>citrus</t>
        </is>
      </c>
      <c r="L73" s="5" t="inlineStr">
        <is>
          <t>musk, floral</t>
        </is>
      </c>
      <c r="M73" s="5" t="inlineStr">
        <is>
          <t>clean, fresh, zesty</t>
        </is>
      </c>
      <c r="N73" s="5" t="n"/>
      <c r="O73" s="5" t="inlineStr">
        <is>
          <t>light</t>
        </is>
      </c>
      <c r="P73" s="5" t="inlineStr">
        <is>
          <t>low</t>
        </is>
      </c>
      <c r="Q73" s="5" t="inlineStr">
        <is>
          <t>사계절 · 데일리</t>
        </is>
      </c>
      <c r="R73" s="5" t="inlineStr">
        <is>
          <t>깨끗한 빨래와 레몬을 닮은 맑고 투명한 향</t>
        </is>
      </c>
      <c r="S73" s="5" t="inlineStr">
        <is>
          <t>몇 시간 뒤엔 보송한 화이트 머스크가 남아요</t>
        </is>
      </c>
      <c r="T73" s="5" t="inlineStr">
        <is>
          <t>레몬의 상큼함이 머스크로 이어지는지 맡아보세요</t>
        </is>
      </c>
      <c r="U73" s="6" t="n"/>
      <c r="V73" s="6" t="n"/>
      <c r="W73" s="6" t="n"/>
      <c r="X73" s="6" t="n"/>
      <c r="Y73" s="4" t="inlineStr">
        <is>
          <t>메종 프란시스 커정 백화점</t>
        </is>
      </c>
      <c r="Z73" s="6" t="inlineStr">
        <is>
          <t>[확인 필요]</t>
        </is>
      </c>
      <c r="AA73" s="6" t="n"/>
      <c r="AB73" s="6" t="n"/>
      <c r="AC73" s="4" t="inlineStr">
        <is>
          <t>AI 초안 (공식 확인 전)</t>
        </is>
      </c>
      <c r="AD73" s="4" t="inlineStr">
        <is>
          <t>노트·농도 공식 확인 / 국내 정가 / 이미지 / 시향 가능 채널</t>
        </is>
      </c>
    </row>
    <row r="74">
      <c r="A74" s="4" t="inlineStr">
        <is>
          <t>mfk-oud-satin-mood</t>
        </is>
      </c>
      <c r="B74" s="4" t="inlineStr">
        <is>
          <t>Maison Francis Kurkdjian</t>
        </is>
      </c>
      <c r="C74" s="5" t="inlineStr">
        <is>
          <t>메종 프란시스 커정</t>
        </is>
      </c>
      <c r="D74" s="4" t="inlineStr">
        <is>
          <t>Oud Satin Mood</t>
        </is>
      </c>
      <c r="E74" s="5" t="inlineStr">
        <is>
          <t>우드 사틴 무드</t>
        </is>
      </c>
      <c r="F74" s="5" t="inlineStr">
        <is>
          <t>EDP</t>
        </is>
      </c>
      <c r="G74" s="5" t="inlineStr">
        <is>
          <t>Violet</t>
        </is>
      </c>
      <c r="H74" s="5" t="inlineStr">
        <is>
          <t>Rose, Oud</t>
        </is>
      </c>
      <c r="I74" s="5" t="inlineStr">
        <is>
          <t>Vanilla, Benzoin, Amber, Musk</t>
        </is>
      </c>
      <c r="J74" s="6" t="n"/>
      <c r="K74" s="5" t="inlineStr">
        <is>
          <t>woody</t>
        </is>
      </c>
      <c r="L74" s="5" t="inlineStr">
        <is>
          <t>floral, amber</t>
        </is>
      </c>
      <c r="M74" s="5" t="inlineStr">
        <is>
          <t>deep, elegant, warm, sensual</t>
        </is>
      </c>
      <c r="N74" s="5" t="inlineStr">
        <is>
          <t>tooStrong</t>
        </is>
      </c>
      <c r="O74" s="5" t="inlineStr">
        <is>
          <t>strong</t>
        </is>
      </c>
      <c r="P74" s="5" t="inlineStr">
        <is>
          <t>high</t>
        </is>
      </c>
      <c r="Q74" s="5" t="inlineStr">
        <is>
          <t>가을·겨울 · 저녁</t>
        </is>
      </c>
      <c r="R74" s="5" t="inlineStr">
        <is>
          <t>장미와 우드에 바닐라가 감싸는 부드럽고 깊은 향</t>
        </is>
      </c>
      <c r="S74" s="5" t="inlineStr">
        <is>
          <t>시간이 지나도 달콤한 우디 향이 오래 남아요</t>
        </is>
      </c>
      <c r="T74" s="5" t="inlineStr">
        <is>
          <t>우드 향의 진함이 부담스럽지 않은지 확인해 보세요</t>
        </is>
      </c>
      <c r="U74" s="6" t="n"/>
      <c r="V74" s="6" t="n"/>
      <c r="W74" s="6" t="n"/>
      <c r="X74" s="6" t="n"/>
      <c r="Y74" s="4" t="inlineStr">
        <is>
          <t>메종 프란시스 커정 백화점</t>
        </is>
      </c>
      <c r="Z74" s="6" t="inlineStr">
        <is>
          <t>[확인 필요]</t>
        </is>
      </c>
      <c r="AA74" s="6" t="n"/>
      <c r="AB74" s="6" t="n"/>
      <c r="AC74" s="4" t="inlineStr">
        <is>
          <t>AI 초안 (공식 확인 전)</t>
        </is>
      </c>
      <c r="AD74" s="4" t="inlineStr">
        <is>
          <t>노트·농도 공식 확인 / 국내 정가 / 이미지 / 시향 가능 채널</t>
        </is>
      </c>
    </row>
    <row r="75">
      <c r="A75" s="4" t="inlineStr">
        <is>
          <t>mfk-grand-soir</t>
        </is>
      </c>
      <c r="B75" s="4" t="inlineStr">
        <is>
          <t>Maison Francis Kurkdjian</t>
        </is>
      </c>
      <c r="C75" s="5" t="inlineStr">
        <is>
          <t>메종 프란시스 커정</t>
        </is>
      </c>
      <c r="D75" s="4" t="inlineStr">
        <is>
          <t>Grand Soir</t>
        </is>
      </c>
      <c r="E75" s="5" t="inlineStr">
        <is>
          <t>그랑 수아</t>
        </is>
      </c>
      <c r="F75" s="5" t="inlineStr">
        <is>
          <t>EDP</t>
        </is>
      </c>
      <c r="G75" s="5" t="inlineStr">
        <is>
          <t>Amber</t>
        </is>
      </c>
      <c r="H75" s="5" t="inlineStr">
        <is>
          <t>Benzoin, Labdanum</t>
        </is>
      </c>
      <c r="I75" s="5" t="inlineStr">
        <is>
          <t>Tonka Bean, Vanilla</t>
        </is>
      </c>
      <c r="J75" s="6" t="n"/>
      <c r="K75" s="5" t="inlineStr">
        <is>
          <t>amber</t>
        </is>
      </c>
      <c r="L75" s="5" t="inlineStr">
        <is>
          <t>gourmand</t>
        </is>
      </c>
      <c r="M75" s="5" t="inlineStr">
        <is>
          <t>warm, deep, cozy, sensual</t>
        </is>
      </c>
      <c r="N75" s="5" t="inlineStr">
        <is>
          <t>tooSweet, tooStrong</t>
        </is>
      </c>
      <c r="O75" s="5" t="inlineStr">
        <is>
          <t>strong</t>
        </is>
      </c>
      <c r="P75" s="5" t="inlineStr">
        <is>
          <t>mid</t>
        </is>
      </c>
      <c r="Q75" s="5" t="inlineStr">
        <is>
          <t>가을·겨울 · 저녁</t>
        </is>
      </c>
      <c r="R75" s="5" t="inlineStr">
        <is>
          <t>촛불 켠 저녁 같은 따뜻하고 달콤한 앰버 향</t>
        </is>
      </c>
      <c r="S75" s="5" t="inlineStr">
        <is>
          <t>시간이 지나도 포근한 앰버와 바닐라가 길게 남아요</t>
        </is>
      </c>
      <c r="T75" s="5" t="inlineStr">
        <is>
          <t>앰버의 달콤함과 진한 정도를 확인해 보세요</t>
        </is>
      </c>
      <c r="U75" s="6" t="n"/>
      <c r="V75" s="6" t="n"/>
      <c r="W75" s="6" t="n"/>
      <c r="X75" s="6" t="n"/>
      <c r="Y75" s="4" t="inlineStr">
        <is>
          <t>메종 프란시스 커정 백화점</t>
        </is>
      </c>
      <c r="Z75" s="6" t="inlineStr">
        <is>
          <t>[확인 필요]</t>
        </is>
      </c>
      <c r="AA75" s="6" t="n"/>
      <c r="AB75" s="6" t="n"/>
      <c r="AC75" s="4" t="inlineStr">
        <is>
          <t>AI 초안 (공식 확인 전)</t>
        </is>
      </c>
      <c r="AD75" s="4" t="inlineStr">
        <is>
          <t>노트·농도 공식 확인 / 국내 정가 / 이미지 / 시향 가능 채널</t>
        </is>
      </c>
    </row>
    <row r="76">
      <c r="A76" s="4" t="inlineStr">
        <is>
          <t>mfk-gentle-fluidity-gold</t>
        </is>
      </c>
      <c r="B76" s="4" t="inlineStr">
        <is>
          <t>Maison Francis Kurkdjian</t>
        </is>
      </c>
      <c r="C76" s="5" t="inlineStr">
        <is>
          <t>메종 프란시스 커정</t>
        </is>
      </c>
      <c r="D76" s="4" t="inlineStr">
        <is>
          <t>Gentle Fluidity Gold</t>
        </is>
      </c>
      <c r="E76" s="5" t="inlineStr">
        <is>
          <t>젠틀 플루이디티 골드</t>
        </is>
      </c>
      <c r="F76" s="5" t="inlineStr">
        <is>
          <t>EDP</t>
        </is>
      </c>
      <c r="G76" s="5" t="inlineStr">
        <is>
          <t>Juniper Berries, Coriander, Nutmeg</t>
        </is>
      </c>
      <c r="H76" s="5" t="inlineStr">
        <is>
          <t>Musk</t>
        </is>
      </c>
      <c r="I76" s="5" t="inlineStr">
        <is>
          <t>Vanilla, Amber</t>
        </is>
      </c>
      <c r="J76" s="6" t="n"/>
      <c r="K76" s="5" t="inlineStr">
        <is>
          <t>amber</t>
        </is>
      </c>
      <c r="L76" s="5" t="inlineStr">
        <is>
          <t>gourmand, spicy</t>
        </is>
      </c>
      <c r="M76" s="5" t="inlineStr">
        <is>
          <t>warm, cozy, soft</t>
        </is>
      </c>
      <c r="N76" s="5" t="n"/>
      <c r="O76" s="5" t="inlineStr">
        <is>
          <t>medium</t>
        </is>
      </c>
      <c r="P76" s="5" t="inlineStr">
        <is>
          <t>mid</t>
        </is>
      </c>
      <c r="Q76" s="5" t="inlineStr">
        <is>
          <t>가을·겨울 · 데일리</t>
        </is>
      </c>
      <c r="R76" s="5" t="inlineStr">
        <is>
          <t>향신료와 바닐라가 부드럽게 어우러진 따뜻한 향</t>
        </is>
      </c>
      <c r="S76" s="5" t="inlineStr">
        <is>
          <t>시간이 지나면 부드러운 바닐라 앰버가 남아요</t>
        </is>
      </c>
      <c r="T76" s="5" t="inlineStr">
        <is>
          <t>첫 향의 알싸함이 바닐라로 바뀌는 순간을 맡아보세요</t>
        </is>
      </c>
      <c r="U76" s="6" t="n"/>
      <c r="V76" s="6" t="n"/>
      <c r="W76" s="6" t="n"/>
      <c r="X76" s="6" t="n"/>
      <c r="Y76" s="4" t="inlineStr">
        <is>
          <t>메종 프란시스 커정 백화점</t>
        </is>
      </c>
      <c r="Z76" s="6" t="inlineStr">
        <is>
          <t>[확인 필요]</t>
        </is>
      </c>
      <c r="AA76" s="6" t="n"/>
      <c r="AB76" s="6" t="n"/>
      <c r="AC76" s="4" t="inlineStr">
        <is>
          <t>AI 초안 (공식 확인 전)</t>
        </is>
      </c>
      <c r="AD76" s="4" t="inlineStr">
        <is>
          <t>노트·농도 공식 확인 / 국내 정가 / 이미지 / 시향 가능 채널</t>
        </is>
      </c>
    </row>
    <row r="77">
      <c r="A77" s="4" t="inlineStr">
        <is>
          <t>initio-oud-for-greatness</t>
        </is>
      </c>
      <c r="B77" s="4" t="inlineStr">
        <is>
          <t>Initio</t>
        </is>
      </c>
      <c r="C77" s="5" t="inlineStr">
        <is>
          <t>이니시오</t>
        </is>
      </c>
      <c r="D77" s="4" t="inlineStr">
        <is>
          <t>Oud for Greatness</t>
        </is>
      </c>
      <c r="E77" s="5" t="inlineStr">
        <is>
          <t>우드 포 그레이트니스</t>
        </is>
      </c>
      <c r="F77" s="5" t="inlineStr">
        <is>
          <t>EDP</t>
        </is>
      </c>
      <c r="G77" s="5" t="inlineStr">
        <is>
          <t>Saffron, Nutmeg, Lavender</t>
        </is>
      </c>
      <c r="H77" s="5" t="inlineStr">
        <is>
          <t>Oud</t>
        </is>
      </c>
      <c r="I77" s="5" t="inlineStr">
        <is>
          <t>Patchouli, Musk</t>
        </is>
      </c>
      <c r="J77" s="6" t="n"/>
      <c r="K77" s="5" t="inlineStr">
        <is>
          <t>woody</t>
        </is>
      </c>
      <c r="L77" s="5" t="inlineStr">
        <is>
          <t>spicy, aromatic</t>
        </is>
      </c>
      <c r="M77" s="5" t="inlineStr">
        <is>
          <t>deep, warm, elegant, sensual</t>
        </is>
      </c>
      <c r="N77" s="5" t="inlineStr">
        <is>
          <t>tooStrong</t>
        </is>
      </c>
      <c r="O77" s="5" t="inlineStr">
        <is>
          <t>strong</t>
        </is>
      </c>
      <c r="P77" s="5" t="inlineStr">
        <is>
          <t>high</t>
        </is>
      </c>
      <c r="Q77" s="5" t="inlineStr">
        <is>
          <t>가을·겨울 · 저녁</t>
        </is>
      </c>
      <c r="R77" s="5" t="inlineStr">
        <is>
          <t>사프란과 우드가 어우러진 진하고 묵직한 향</t>
        </is>
      </c>
      <c r="S77" s="5" t="inlineStr">
        <is>
          <t>시간이 지나도 우디한 향이 오래 남아요</t>
        </is>
      </c>
      <c r="T77" s="5" t="inlineStr">
        <is>
          <t>향의 진함이 부담스럽지 않은지 한 번만 뿌려 확인해 보세요</t>
        </is>
      </c>
      <c r="U77" s="6" t="n"/>
      <c r="V77" s="6" t="n"/>
      <c r="W77" s="6" t="n"/>
      <c r="X77" s="6" t="n"/>
      <c r="Y77" s="4" t="inlineStr">
        <is>
          <t>이니시오 백화점</t>
        </is>
      </c>
      <c r="Z77" s="6" t="inlineStr">
        <is>
          <t>[확인 필요]</t>
        </is>
      </c>
      <c r="AA77" s="6" t="n"/>
      <c r="AB77" s="6" t="n"/>
      <c r="AC77" s="4" t="inlineStr">
        <is>
          <t>AI 초안 (공식 확인 전)</t>
        </is>
      </c>
      <c r="AD77" s="4" t="inlineStr">
        <is>
          <t>노트·농도 공식 확인 / 국내 정가 / 이미지 / 시향 가능 채널</t>
        </is>
      </c>
    </row>
    <row r="78">
      <c r="A78" s="4" t="inlineStr">
        <is>
          <t>nishane-hacivat</t>
        </is>
      </c>
      <c r="B78" s="4" t="inlineStr">
        <is>
          <t>Nishane</t>
        </is>
      </c>
      <c r="C78" s="5" t="inlineStr">
        <is>
          <t>니샤네</t>
        </is>
      </c>
      <c r="D78" s="4" t="inlineStr">
        <is>
          <t>Hacivat</t>
        </is>
      </c>
      <c r="E78" s="5" t="inlineStr">
        <is>
          <t>하지바트</t>
        </is>
      </c>
      <c r="F78" s="5" t="inlineStr">
        <is>
          <t>EDP</t>
        </is>
      </c>
      <c r="G78" s="5" t="inlineStr">
        <is>
          <t>Pineapple, Grapefruit, Bergamot</t>
        </is>
      </c>
      <c r="H78" s="5" t="inlineStr">
        <is>
          <t>Jasmine</t>
        </is>
      </c>
      <c r="I78" s="5" t="inlineStr">
        <is>
          <t>Cedar, Oakmoss, Patchouli</t>
        </is>
      </c>
      <c r="J78" s="6" t="n"/>
      <c r="K78" s="5" t="inlineStr">
        <is>
          <t>fruity</t>
        </is>
      </c>
      <c r="L78" s="5" t="inlineStr">
        <is>
          <t>woody, citrus</t>
        </is>
      </c>
      <c r="M78" s="5" t="inlineStr">
        <is>
          <t>fresh, zesty, elegant</t>
        </is>
      </c>
      <c r="N78" s="5" t="n"/>
      <c r="O78" s="5" t="inlineStr">
        <is>
          <t>medium</t>
        </is>
      </c>
      <c r="P78" s="5" t="inlineStr">
        <is>
          <t>mid</t>
        </is>
      </c>
      <c r="Q78" s="5" t="inlineStr">
        <is>
          <t>봄·여름 · 데일리</t>
        </is>
      </c>
      <c r="R78" s="5" t="inlineStr">
        <is>
          <t>파인애플과 자몽의 상큼함 뒤로 이끼 향이 이어지는 향</t>
        </is>
      </c>
      <c r="S78" s="5" t="inlineStr">
        <is>
          <t>시간이 지나면 이끼와 나무 향이 차분하게 남아요</t>
        </is>
      </c>
      <c r="T78" s="5" t="inlineStr">
        <is>
          <t>상큼한 과일이 이끼 향으로 변하는 흐름을 맡아보세요</t>
        </is>
      </c>
      <c r="U78" s="6" t="n"/>
      <c r="V78" s="6" t="n"/>
      <c r="W78" s="6" t="n"/>
      <c r="X78" s="6" t="n"/>
      <c r="Y78" s="4" t="inlineStr">
        <is>
          <t>니샤네 백화점</t>
        </is>
      </c>
      <c r="Z78" s="6" t="inlineStr">
        <is>
          <t>[확인 필요]</t>
        </is>
      </c>
      <c r="AA78" s="6" t="n"/>
      <c r="AB78" s="6" t="n"/>
      <c r="AC78" s="4" t="inlineStr">
        <is>
          <t>AI 초안 (공식 확인 전)</t>
        </is>
      </c>
      <c r="AD78" s="4" t="inlineStr">
        <is>
          <t>노트·농도 공식 확인 / 국내 정가 / 이미지 / 시향 가능 채널</t>
        </is>
      </c>
    </row>
    <row r="79">
      <c r="A79" s="4" t="inlineStr">
        <is>
          <t>byredo-mojave-ghost</t>
        </is>
      </c>
      <c r="B79" s="4" t="inlineStr">
        <is>
          <t>Byredo</t>
        </is>
      </c>
      <c r="C79" s="5" t="inlineStr">
        <is>
          <t>바이레도</t>
        </is>
      </c>
      <c r="D79" s="4" t="inlineStr">
        <is>
          <t>Mojave Ghost</t>
        </is>
      </c>
      <c r="E79" s="5" t="inlineStr">
        <is>
          <t>모하비 고스트</t>
        </is>
      </c>
      <c r="F79" s="5" t="inlineStr">
        <is>
          <t>EDP</t>
        </is>
      </c>
      <c r="G79" s="5" t="inlineStr">
        <is>
          <t>Ambrette</t>
        </is>
      </c>
      <c r="H79" s="5" t="inlineStr">
        <is>
          <t>Violet, Magnolia, Sandalwood</t>
        </is>
      </c>
      <c r="I79" s="5" t="inlineStr">
        <is>
          <t>Musk, Cedar, Amber</t>
        </is>
      </c>
      <c r="J79" s="6" t="n"/>
      <c r="K79" s="5" t="inlineStr">
        <is>
          <t>musk</t>
        </is>
      </c>
      <c r="L79" s="5" t="inlineStr">
        <is>
          <t>floral, powdery, woody</t>
        </is>
      </c>
      <c r="M79" s="5" t="inlineStr">
        <is>
          <t>soft, calm, clean</t>
        </is>
      </c>
      <c r="N79" s="5" t="n"/>
      <c r="O79" s="5" t="inlineStr">
        <is>
          <t>medium</t>
        </is>
      </c>
      <c r="P79" s="5" t="inlineStr">
        <is>
          <t>low</t>
        </is>
      </c>
      <c r="Q79" s="5" t="inlineStr">
        <is>
          <t>사계절 · 데일리</t>
        </is>
      </c>
      <c r="R79" s="5" t="inlineStr">
        <is>
          <t>사막에 핀 하얀 꽃 같은 보송하고 부드러운 향</t>
        </is>
      </c>
      <c r="S79" s="5" t="inlineStr">
        <is>
          <t>몇 시간 뒤엔 보송한 머스크와 나무 향이 남아요</t>
        </is>
      </c>
      <c r="T79" s="5" t="inlineStr">
        <is>
          <t>꽃 향이 보송하게 퍼지는지 확인해 보세요</t>
        </is>
      </c>
      <c r="U79" s="6" t="n">
        <v>50</v>
      </c>
      <c r="V79" s="10" t="n">
        <v>305000</v>
      </c>
      <c r="W79" s="6" t="inlineStr">
        <is>
          <t>2026-10-07</t>
        </is>
      </c>
      <c r="X79" s="6" t="inlineStr">
        <is>
          <t>https://www.byredo.com/ko_kr/p/mojave-ghost-eau-de-parfum</t>
        </is>
      </c>
      <c r="Y79" s="4" t="inlineStr">
        <is>
          <t>바이레도 백화점</t>
        </is>
      </c>
      <c r="Z79" s="6" t="inlineStr">
        <is>
          <t>[확인 필요]</t>
        </is>
      </c>
      <c r="AA79" s="6" t="inlineStr">
        <is>
          <t>byredo-mojave-ghost.jpg</t>
        </is>
      </c>
      <c r="AB79" s="6" t="inlineStr">
        <is>
          <t>https://www.byredo.com/ko_kr/p/mojave-ghost-eau-de-parfum</t>
        </is>
      </c>
      <c r="AC79" s="4" t="inlineStr">
        <is>
          <t>AI 초안 (공식 확인 전)</t>
        </is>
      </c>
      <c r="AD79" s="4" t="inlineStr">
        <is>
          <t>노트·농도 공식 확인 / 시향 가능 채널 (가격·이미지는 공식 페이지에서 반영됨)</t>
        </is>
      </c>
    </row>
    <row r="80">
      <c r="A80" s="4" t="inlineStr">
        <is>
          <t>byredo-bal-d-afrique</t>
        </is>
      </c>
      <c r="B80" s="4" t="inlineStr">
        <is>
          <t>Byredo</t>
        </is>
      </c>
      <c r="C80" s="5" t="inlineStr">
        <is>
          <t>바이레도</t>
        </is>
      </c>
      <c r="D80" s="4" t="inlineStr">
        <is>
          <t>Bal d'Afrique</t>
        </is>
      </c>
      <c r="E80" s="5" t="inlineStr">
        <is>
          <t>발 다프리크</t>
        </is>
      </c>
      <c r="F80" s="5" t="inlineStr">
        <is>
          <t>EDP</t>
        </is>
      </c>
      <c r="G80" s="5" t="inlineStr">
        <is>
          <t>Bergamot, Lemon</t>
        </is>
      </c>
      <c r="H80" s="5" t="inlineStr">
        <is>
          <t>Violet, Jasmine</t>
        </is>
      </c>
      <c r="I80" s="5" t="inlineStr">
        <is>
          <t>Vetiver, Musk, Amber</t>
        </is>
      </c>
      <c r="J80" s="6" t="n"/>
      <c r="K80" s="5" t="inlineStr">
        <is>
          <t>citrus</t>
        </is>
      </c>
      <c r="L80" s="5" t="inlineStr">
        <is>
          <t>woody</t>
        </is>
      </c>
      <c r="M80" s="5" t="inlineStr">
        <is>
          <t>fresh, warm, soft</t>
        </is>
      </c>
      <c r="N80" s="5" t="n"/>
      <c r="O80" s="5" t="inlineStr">
        <is>
          <t>medium</t>
        </is>
      </c>
      <c r="P80" s="5" t="inlineStr">
        <is>
          <t>low</t>
        </is>
      </c>
      <c r="Q80" s="5" t="inlineStr">
        <is>
          <t>봄·여름 · 데일리</t>
        </is>
      </c>
      <c r="R80" s="5" t="inlineStr">
        <is>
          <t>시트러스와 우디가 따뜻하게 어우러진 향</t>
        </is>
      </c>
      <c r="S80" s="5" t="inlineStr">
        <is>
          <t>시간이 지나면 베티버와 머스크가 부드럽게 남아요</t>
        </is>
      </c>
      <c r="T80" s="5" t="inlineStr">
        <is>
          <t>상큼한 첫 향이 따뜻한 나무 향으로 바뀌는지 맡아보세요</t>
        </is>
      </c>
      <c r="U80" s="6" t="n">
        <v>50</v>
      </c>
      <c r="V80" s="10" t="n">
        <v>305000</v>
      </c>
      <c r="W80" s="6" t="inlineStr">
        <is>
          <t>2026-10-07</t>
        </is>
      </c>
      <c r="X80" s="6" t="inlineStr">
        <is>
          <t>https://www.byredo.com/ko_kr/p/bal-d-afrique-eau-de-parfum</t>
        </is>
      </c>
      <c r="Y80" s="4" t="inlineStr">
        <is>
          <t>바이레도 백화점</t>
        </is>
      </c>
      <c r="Z80" s="6" t="inlineStr">
        <is>
          <t>[확인 필요]</t>
        </is>
      </c>
      <c r="AA80" s="6" t="inlineStr">
        <is>
          <t>byredo-bal-d-afrique.jpg</t>
        </is>
      </c>
      <c r="AB80" s="6" t="inlineStr">
        <is>
          <t>https://www.byredo.com/ko_kr/p/bal-d-afrique-eau-de-parfum</t>
        </is>
      </c>
      <c r="AC80" s="4" t="inlineStr">
        <is>
          <t>AI 초안 (공식 확인 전)</t>
        </is>
      </c>
      <c r="AD80" s="4" t="inlineStr">
        <is>
          <t>노트·농도 공식 확인 / 시향 가능 채널 (가격·이미지는 공식 페이지에서 반영됨)</t>
        </is>
      </c>
    </row>
    <row r="81">
      <c r="A81" s="4" t="inlineStr">
        <is>
          <t>byredo-rose-of-no-mans-land</t>
        </is>
      </c>
      <c r="B81" s="4" t="inlineStr">
        <is>
          <t>Byredo</t>
        </is>
      </c>
      <c r="C81" s="5" t="inlineStr">
        <is>
          <t>바이레도</t>
        </is>
      </c>
      <c r="D81" s="4" t="inlineStr">
        <is>
          <t>Rose of No Man's Land</t>
        </is>
      </c>
      <c r="E81" s="5" t="inlineStr">
        <is>
          <t>로즈 오브 노 맨즈 랜드</t>
        </is>
      </c>
      <c r="F81" s="5" t="inlineStr">
        <is>
          <t>EDP</t>
        </is>
      </c>
      <c r="G81" s="5" t="inlineStr">
        <is>
          <t>Pink Pepper, Raspberry</t>
        </is>
      </c>
      <c r="H81" s="5" t="inlineStr">
        <is>
          <t>Rose, Papyrus</t>
        </is>
      </c>
      <c r="I81" s="5" t="inlineStr">
        <is>
          <t>Amber, Musk</t>
        </is>
      </c>
      <c r="J81" s="6" t="n"/>
      <c r="K81" s="5" t="inlineStr">
        <is>
          <t>floral</t>
        </is>
      </c>
      <c r="L81" s="5" t="inlineStr">
        <is>
          <t>spicy, woody</t>
        </is>
      </c>
      <c r="M81" s="5" t="inlineStr">
        <is>
          <t>elegant, deep, soft</t>
        </is>
      </c>
      <c r="N81" s="5" t="n"/>
      <c r="O81" s="5" t="inlineStr">
        <is>
          <t>medium</t>
        </is>
      </c>
      <c r="P81" s="5" t="inlineStr">
        <is>
          <t>mid</t>
        </is>
      </c>
      <c r="Q81" s="5" t="inlineStr">
        <is>
          <t>사계절 · 데이트</t>
        </is>
      </c>
      <c r="R81" s="5" t="inlineStr">
        <is>
          <t>후추의 알싸함이 더해진 건조하고 우아한 장미 향</t>
        </is>
      </c>
      <c r="S81" s="5" t="inlineStr">
        <is>
          <t>시간이 지나면 앰버와 머스크가 포근하게 남아요</t>
        </is>
      </c>
      <c r="T81" s="5" t="inlineStr">
        <is>
          <t>장미가 달콤하지 않고 건조한지 확인해 보세요</t>
        </is>
      </c>
      <c r="U81" s="6" t="n">
        <v>50</v>
      </c>
      <c r="V81" s="10" t="n">
        <v>305000</v>
      </c>
      <c r="W81" s="6" t="inlineStr">
        <is>
          <t>2026-10-07</t>
        </is>
      </c>
      <c r="X81" s="6" t="inlineStr">
        <is>
          <t>https://www.byredo.com/ko_kr/p/rose-of-no-mans-land-eau-de-parfum</t>
        </is>
      </c>
      <c r="Y81" s="4" t="inlineStr">
        <is>
          <t>바이레도 백화점</t>
        </is>
      </c>
      <c r="Z81" s="6" t="inlineStr">
        <is>
          <t>[확인 필요]</t>
        </is>
      </c>
      <c r="AA81" s="6" t="inlineStr">
        <is>
          <t>byredo-rose-of-no-mans-land.jpg</t>
        </is>
      </c>
      <c r="AB81" s="6" t="inlineStr">
        <is>
          <t>https://www.byredo.com/ko_kr/p/rose-of-no-mans-land-eau-de-parfum</t>
        </is>
      </c>
      <c r="AC81" s="4" t="inlineStr">
        <is>
          <t>AI 초안 (공식 확인 전)</t>
        </is>
      </c>
      <c r="AD81" s="4" t="inlineStr">
        <is>
          <t>노트·농도 공식 확인 / 시향 가능 채널 (가격·이미지는 공식 페이지에서 반영됨)</t>
        </is>
      </c>
    </row>
    <row r="82">
      <c r="A82" s="4" t="inlineStr">
        <is>
          <t>byredo-bibliotheque</t>
        </is>
      </c>
      <c r="B82" s="4" t="inlineStr">
        <is>
          <t>Byredo</t>
        </is>
      </c>
      <c r="C82" s="5" t="inlineStr">
        <is>
          <t>바이레도</t>
        </is>
      </c>
      <c r="D82" s="4" t="inlineStr">
        <is>
          <t>Bibliothèque</t>
        </is>
      </c>
      <c r="E82" s="5" t="inlineStr">
        <is>
          <t>비블리오테크</t>
        </is>
      </c>
      <c r="F82" s="5" t="inlineStr">
        <is>
          <t>EDP</t>
        </is>
      </c>
      <c r="G82" s="5" t="inlineStr">
        <is>
          <t>Plum, Peach</t>
        </is>
      </c>
      <c r="H82" s="5" t="inlineStr">
        <is>
          <t>Peony, Violet</t>
        </is>
      </c>
      <c r="I82" s="5" t="inlineStr">
        <is>
          <t>Leather, Vanilla, Patchouli</t>
        </is>
      </c>
      <c r="J82" s="6" t="n"/>
      <c r="K82" s="5" t="inlineStr">
        <is>
          <t>leather</t>
        </is>
      </c>
      <c r="L82" s="5" t="inlineStr">
        <is>
          <t>fruity, gourmand, powdery</t>
        </is>
      </c>
      <c r="M82" s="5" t="inlineStr">
        <is>
          <t>cozy, warm, soft</t>
        </is>
      </c>
      <c r="N82" s="5" t="n"/>
      <c r="O82" s="5" t="inlineStr">
        <is>
          <t>medium</t>
        </is>
      </c>
      <c r="P82" s="5" t="inlineStr">
        <is>
          <t>mid</t>
        </is>
      </c>
      <c r="Q82" s="5" t="inlineStr">
        <is>
          <t>가을·겨울 · 휴식</t>
        </is>
      </c>
      <c r="R82" s="5" t="inlineStr">
        <is>
          <t>오래된 책과 가죽 소파 같은 포근한 향</t>
        </is>
      </c>
      <c r="S82" s="5" t="inlineStr">
        <is>
          <t>시간이 지나면 바닐라와 가죽이 부드럽게 남아요</t>
        </is>
      </c>
      <c r="T82" s="5" t="inlineStr">
        <is>
          <t>과일 향과 가죽 향이 만나는 순간을 맡아보세요</t>
        </is>
      </c>
      <c r="U82" s="6" t="n">
        <v>50</v>
      </c>
      <c r="V82" s="10" t="n">
        <v>305000</v>
      </c>
      <c r="W82" s="6" t="inlineStr">
        <is>
          <t>2026-10-07</t>
        </is>
      </c>
      <c r="X82" s="6" t="inlineStr">
        <is>
          <t>https://www.byredo.com/ko_kr/p/bibliotheque-eau-de-parfum</t>
        </is>
      </c>
      <c r="Y82" s="4" t="inlineStr">
        <is>
          <t>바이레도 백화점</t>
        </is>
      </c>
      <c r="Z82" s="6" t="inlineStr">
        <is>
          <t>[확인 필요]</t>
        </is>
      </c>
      <c r="AA82" s="6" t="inlineStr">
        <is>
          <t>byredo-bibliotheque.jpg</t>
        </is>
      </c>
      <c r="AB82" s="6" t="inlineStr">
        <is>
          <t>https://www.byredo.com/ko_kr/p/bibliotheque-eau-de-parfum</t>
        </is>
      </c>
      <c r="AC82" s="4" t="inlineStr">
        <is>
          <t>AI 초안 (공식 확인 전)</t>
        </is>
      </c>
      <c r="AD82" s="4" t="inlineStr">
        <is>
          <t>노트·농도 공식 확인 / 시향 가능 채널 (가격·이미지는 공식 페이지에서 반영됨)</t>
        </is>
      </c>
    </row>
    <row r="83">
      <c r="A83" s="4" t="inlineStr">
        <is>
          <t>diptyque-eau-duelle</t>
        </is>
      </c>
      <c r="B83" s="4" t="inlineStr">
        <is>
          <t>Diptyque</t>
        </is>
      </c>
      <c r="C83" s="5" t="inlineStr">
        <is>
          <t>딥티크</t>
        </is>
      </c>
      <c r="D83" s="4" t="inlineStr">
        <is>
          <t>Eau Duelle</t>
        </is>
      </c>
      <c r="E83" s="5" t="inlineStr">
        <is>
          <t>오 뒤엘</t>
        </is>
      </c>
      <c r="F83" s="5" t="inlineStr">
        <is>
          <t>EDT</t>
        </is>
      </c>
      <c r="G83" s="5" t="inlineStr">
        <is>
          <t>Pink Pepper, Juniper Berries</t>
        </is>
      </c>
      <c r="H83" s="5" t="inlineStr">
        <is>
          <t>Cardamom, Incense</t>
        </is>
      </c>
      <c r="I83" s="5" t="inlineStr">
        <is>
          <t>Vanilla, Styrax</t>
        </is>
      </c>
      <c r="J83" s="6" t="n"/>
      <c r="K83" s="5" t="inlineStr">
        <is>
          <t>spicy</t>
        </is>
      </c>
      <c r="L83" s="5" t="inlineStr">
        <is>
          <t>amber, gourmand</t>
        </is>
      </c>
      <c r="M83" s="5" t="inlineStr">
        <is>
          <t>warm, cozy, soft</t>
        </is>
      </c>
      <c r="N83" s="5" t="n"/>
      <c r="O83" s="5" t="inlineStr">
        <is>
          <t>medium</t>
        </is>
      </c>
      <c r="P83" s="5" t="inlineStr">
        <is>
          <t>mid</t>
        </is>
      </c>
      <c r="Q83" s="5" t="inlineStr">
        <is>
          <t>가을·겨울 · 휴식</t>
        </is>
      </c>
      <c r="R83" s="5" t="inlineStr">
        <is>
          <t>향신료와 바닐라가 고요하게 어우러진 따뜻한 향</t>
        </is>
      </c>
      <c r="S83" s="5" t="inlineStr">
        <is>
          <t>시간이 지나면 부드러운 바닐라와 인센스가 남아요</t>
        </is>
      </c>
      <c r="T83" s="5" t="inlineStr">
        <is>
          <t>알싸한 첫 향이 바닐라로 바뀌는 흐름을 맡아보세요</t>
        </is>
      </c>
      <c r="U83" s="6" t="n"/>
      <c r="V83" s="6" t="n"/>
      <c r="W83" s="6" t="n"/>
      <c r="X83" s="6" t="n"/>
      <c r="Y83" s="4" t="inlineStr">
        <is>
          <t>딥티크 백화점</t>
        </is>
      </c>
      <c r="Z83" s="6" t="inlineStr">
        <is>
          <t>[확인 필요]</t>
        </is>
      </c>
      <c r="AA83" s="6" t="n"/>
      <c r="AB83" s="6" t="n"/>
      <c r="AC83" s="4" t="inlineStr">
        <is>
          <t>AI 초안 (공식 확인 전)</t>
        </is>
      </c>
      <c r="AD83" s="4" t="inlineStr">
        <is>
          <t>노트·농도 공식 확인 / 국내 정가 / 이미지 / 시향 가능 채널</t>
        </is>
      </c>
    </row>
    <row r="84">
      <c r="A84" s="4" t="inlineStr">
        <is>
          <t>diptyque-orpheon</t>
        </is>
      </c>
      <c r="B84" s="4" t="inlineStr">
        <is>
          <t>Diptyque</t>
        </is>
      </c>
      <c r="C84" s="5" t="inlineStr">
        <is>
          <t>딥티크</t>
        </is>
      </c>
      <c r="D84" s="4" t="inlineStr">
        <is>
          <t>Orphéon</t>
        </is>
      </c>
      <c r="E84" s="5" t="inlineStr">
        <is>
          <t>오르페옹</t>
        </is>
      </c>
      <c r="F84" s="5" t="inlineStr">
        <is>
          <t>EDP</t>
        </is>
      </c>
      <c r="G84" s="5" t="inlineStr">
        <is>
          <t>Juniper Berries</t>
        </is>
      </c>
      <c r="H84" s="5" t="inlineStr">
        <is>
          <t>Jasmine, Cedar</t>
        </is>
      </c>
      <c r="I84" s="5" t="inlineStr">
        <is>
          <t>Tonka Bean, Musk</t>
        </is>
      </c>
      <c r="J84" s="6" t="n"/>
      <c r="K84" s="5" t="inlineStr">
        <is>
          <t>woody</t>
        </is>
      </c>
      <c r="L84" s="5" t="inlineStr">
        <is>
          <t>aromatic, whiteFloral</t>
        </is>
      </c>
      <c r="M84" s="5" t="inlineStr">
        <is>
          <t>calm, cozy, elegant</t>
        </is>
      </c>
      <c r="N84" s="5" t="n"/>
      <c r="O84" s="5" t="inlineStr">
        <is>
          <t>medium</t>
        </is>
      </c>
      <c r="P84" s="5" t="inlineStr">
        <is>
          <t>mid</t>
        </is>
      </c>
      <c r="Q84" s="5" t="inlineStr">
        <is>
          <t>가을·겨울 · 저녁</t>
        </is>
      </c>
      <c r="R84" s="5" t="inlineStr">
        <is>
          <t>재즈 카페 같은 부드럽고 따뜻한 나무 향</t>
        </is>
      </c>
      <c r="S84" s="5" t="inlineStr">
        <is>
          <t>시간이 지나면 달콤한 통카빈과 머스크가 남아요</t>
        </is>
      </c>
      <c r="T84" s="5" t="inlineStr">
        <is>
          <t>주니퍼의 상쾌함이 나무 향으로 이어지는지 맡아보세요</t>
        </is>
      </c>
      <c r="U84" s="6" t="n"/>
      <c r="V84" s="6" t="n"/>
      <c r="W84" s="6" t="n"/>
      <c r="X84" s="6" t="n"/>
      <c r="Y84" s="4" t="inlineStr">
        <is>
          <t>딥티크 백화점</t>
        </is>
      </c>
      <c r="Z84" s="6" t="inlineStr">
        <is>
          <t>[확인 필요]</t>
        </is>
      </c>
      <c r="AA84" s="6" t="n"/>
      <c r="AB84" s="6" t="n"/>
      <c r="AC84" s="4" t="inlineStr">
        <is>
          <t>AI 초안 (공식 확인 전)</t>
        </is>
      </c>
      <c r="AD84" s="4" t="inlineStr">
        <is>
          <t>노트·농도 공식 확인 / 국내 정가 / 이미지 / 시향 가능 채널</t>
        </is>
      </c>
    </row>
    <row r="85">
      <c r="A85" s="4" t="inlineStr">
        <is>
          <t>tom-ford-lost-cherry</t>
        </is>
      </c>
      <c r="B85" s="4" t="inlineStr">
        <is>
          <t>Tom Ford</t>
        </is>
      </c>
      <c r="C85" s="5" t="inlineStr">
        <is>
          <t>톰 포드</t>
        </is>
      </c>
      <c r="D85" s="4" t="inlineStr">
        <is>
          <t>Lost Cherry</t>
        </is>
      </c>
      <c r="E85" s="5" t="inlineStr">
        <is>
          <t>로스트 체리</t>
        </is>
      </c>
      <c r="F85" s="5" t="inlineStr">
        <is>
          <t>EDP</t>
        </is>
      </c>
      <c r="G85" s="5" t="inlineStr">
        <is>
          <t>Cherry, Almond</t>
        </is>
      </c>
      <c r="H85" s="5" t="inlineStr">
        <is>
          <t>Rose, Jasmine</t>
        </is>
      </c>
      <c r="I85" s="5" t="inlineStr">
        <is>
          <t>Tonka Bean, Sandalwood, Cedar</t>
        </is>
      </c>
      <c r="J85" s="6" t="n"/>
      <c r="K85" s="5" t="inlineStr">
        <is>
          <t>gourmand</t>
        </is>
      </c>
      <c r="L85" s="5" t="inlineStr">
        <is>
          <t>fruity, floral</t>
        </is>
      </c>
      <c r="M85" s="5" t="inlineStr">
        <is>
          <t>sweet, warm, elegant, sensual</t>
        </is>
      </c>
      <c r="N85" s="5" t="inlineStr">
        <is>
          <t>tooSweet, tooStrong</t>
        </is>
      </c>
      <c r="O85" s="5" t="inlineStr">
        <is>
          <t>strong</t>
        </is>
      </c>
      <c r="P85" s="5" t="inlineStr">
        <is>
          <t>high</t>
        </is>
      </c>
      <c r="Q85" s="5" t="inlineStr">
        <is>
          <t>가을·겨울 · 저녁</t>
        </is>
      </c>
      <c r="R85" s="5" t="inlineStr">
        <is>
          <t>체리 시럽과 아몬드가 진하게 어우러진 달콤한 향</t>
        </is>
      </c>
      <c r="S85" s="5" t="inlineStr">
        <is>
          <t>시간이 지나도 달콤한 통카빈 향이 오래 남아요</t>
        </is>
      </c>
      <c r="T85" s="5" t="inlineStr">
        <is>
          <t>체리와 아몬드의 달콤함이 부담스럽지 않은지 확인해 보세요</t>
        </is>
      </c>
      <c r="U85" s="6" t="n"/>
      <c r="V85" s="6" t="n"/>
      <c r="W85" s="6" t="n"/>
      <c r="X85" s="6" t="n"/>
      <c r="Y85" s="4" t="inlineStr">
        <is>
          <t>톰 포드 뷰티 백화점</t>
        </is>
      </c>
      <c r="Z85" s="6" t="inlineStr">
        <is>
          <t>[확인 필요]</t>
        </is>
      </c>
      <c r="AA85" s="6" t="n"/>
      <c r="AB85" s="6" t="n"/>
      <c r="AC85" s="4" t="inlineStr">
        <is>
          <t>AI 초안 (공식 확인 전)</t>
        </is>
      </c>
      <c r="AD85" s="4" t="inlineStr">
        <is>
          <t>노트·농도 공식 확인 / 국내 정가 / 이미지 / 시향 가능 채널</t>
        </is>
      </c>
    </row>
    <row r="86">
      <c r="A86" s="4" t="inlineStr">
        <is>
          <t>tom-ford-soleil-blanc</t>
        </is>
      </c>
      <c r="B86" s="4" t="inlineStr">
        <is>
          <t>Tom Ford</t>
        </is>
      </c>
      <c r="C86" s="5" t="inlineStr">
        <is>
          <t>톰 포드</t>
        </is>
      </c>
      <c r="D86" s="4" t="inlineStr">
        <is>
          <t>Soleil Blanc</t>
        </is>
      </c>
      <c r="E86" s="5" t="inlineStr">
        <is>
          <t>솔레이 블랑</t>
        </is>
      </c>
      <c r="F86" s="5" t="inlineStr">
        <is>
          <t>EDP</t>
        </is>
      </c>
      <c r="G86" s="5" t="inlineStr">
        <is>
          <t>Bergamot, Pink Pepper</t>
        </is>
      </c>
      <c r="H86" s="5" t="inlineStr">
        <is>
          <t>Ylang-Ylang, Jasmine, Coconut</t>
        </is>
      </c>
      <c r="I86" s="5" t="inlineStr">
        <is>
          <t>Amber, Tonka Bean, Vanilla</t>
        </is>
      </c>
      <c r="J86" s="6" t="n"/>
      <c r="K86" s="5" t="inlineStr">
        <is>
          <t>whiteFloral</t>
        </is>
      </c>
      <c r="L86" s="5" t="inlineStr">
        <is>
          <t>gourmand, amber, spicy</t>
        </is>
      </c>
      <c r="M86" s="5" t="inlineStr">
        <is>
          <t>warm, sweet, elegant, sensual</t>
        </is>
      </c>
      <c r="N86" s="5" t="n"/>
      <c r="O86" s="5" t="inlineStr">
        <is>
          <t>medium</t>
        </is>
      </c>
      <c r="P86" s="5" t="inlineStr">
        <is>
          <t>mid</t>
        </is>
      </c>
      <c r="Q86" s="5" t="inlineStr">
        <is>
          <t>여름 · 휴가</t>
        </is>
      </c>
      <c r="R86" s="5" t="inlineStr">
        <is>
          <t>햇살 가득한 해변의 하얀 꽃과 코코넛 향</t>
        </is>
      </c>
      <c r="S86" s="5" t="inlineStr">
        <is>
          <t>시간이 지나면 따뜻한 앰버와 바닐라가 남아요</t>
        </is>
      </c>
      <c r="T86" s="5" t="inlineStr">
        <is>
          <t>꽃과 코코넛의 달콤함이 맞는지 확인해 보세요</t>
        </is>
      </c>
      <c r="U86" s="6" t="n"/>
      <c r="V86" s="6" t="n"/>
      <c r="W86" s="6" t="n"/>
      <c r="X86" s="6" t="n"/>
      <c r="Y86" s="4" t="inlineStr">
        <is>
          <t>톰 포드 뷰티 백화점</t>
        </is>
      </c>
      <c r="Z86" s="6" t="inlineStr">
        <is>
          <t>[확인 필요]</t>
        </is>
      </c>
      <c r="AA86" s="6" t="n"/>
      <c r="AB86" s="6" t="n"/>
      <c r="AC86" s="4" t="inlineStr">
        <is>
          <t>AI 초안 (공식 확인 전)</t>
        </is>
      </c>
      <c r="AD86" s="4" t="inlineStr">
        <is>
          <t>노트·농도 공식 확인 / 국내 정가 / 이미지 / 시향 가능 채널</t>
        </is>
      </c>
    </row>
    <row r="87">
      <c r="A87" s="4" t="inlineStr">
        <is>
          <t>tom-ford-tuscan-leather</t>
        </is>
      </c>
      <c r="B87" s="4" t="inlineStr">
        <is>
          <t>Tom Ford</t>
        </is>
      </c>
      <c r="C87" s="5" t="inlineStr">
        <is>
          <t>톰 포드</t>
        </is>
      </c>
      <c r="D87" s="4" t="inlineStr">
        <is>
          <t>Tuscan Leather</t>
        </is>
      </c>
      <c r="E87" s="5" t="inlineStr">
        <is>
          <t>터스칸 레더</t>
        </is>
      </c>
      <c r="F87" s="5" t="inlineStr">
        <is>
          <t>EDP</t>
        </is>
      </c>
      <c r="G87" s="5" t="inlineStr">
        <is>
          <t>Raspberry, Saffron</t>
        </is>
      </c>
      <c r="H87" s="5" t="inlineStr">
        <is>
          <t>Jasmine</t>
        </is>
      </c>
      <c r="I87" s="5" t="inlineStr">
        <is>
          <t>Leather, Suede, Amber</t>
        </is>
      </c>
      <c r="J87" s="6" t="n"/>
      <c r="K87" s="5" t="inlineStr">
        <is>
          <t>leather</t>
        </is>
      </c>
      <c r="L87" s="5" t="inlineStr">
        <is>
          <t>amber, spicy</t>
        </is>
      </c>
      <c r="M87" s="5" t="inlineStr">
        <is>
          <t>deep, warm, elegant, sensual</t>
        </is>
      </c>
      <c r="N87" s="5" t="inlineStr">
        <is>
          <t>tooStrong</t>
        </is>
      </c>
      <c r="O87" s="5" t="inlineStr">
        <is>
          <t>strong</t>
        </is>
      </c>
      <c r="P87" s="5" t="inlineStr">
        <is>
          <t>high</t>
        </is>
      </c>
      <c r="Q87" s="5" t="inlineStr">
        <is>
          <t>가을·겨울 · 저녁</t>
        </is>
      </c>
      <c r="R87" s="5" t="inlineStr">
        <is>
          <t>진한 가죽에 산딸기와 사프란이 더해진 향</t>
        </is>
      </c>
      <c r="S87" s="5" t="inlineStr">
        <is>
          <t>시간이 지나도 가죽과 앰버가 길게 남아요</t>
        </is>
      </c>
      <c r="T87" s="5" t="inlineStr">
        <is>
          <t>가죽 향의 진한 정도를 확인해 보세요</t>
        </is>
      </c>
      <c r="U87" s="6" t="n"/>
      <c r="V87" s="6" t="n"/>
      <c r="W87" s="6" t="n"/>
      <c r="X87" s="6" t="n"/>
      <c r="Y87" s="4" t="inlineStr">
        <is>
          <t>톰 포드 뷰티 백화점</t>
        </is>
      </c>
      <c r="Z87" s="6" t="inlineStr">
        <is>
          <t>[확인 필요]</t>
        </is>
      </c>
      <c r="AA87" s="6" t="n"/>
      <c r="AB87" s="6" t="n"/>
      <c r="AC87" s="4" t="inlineStr">
        <is>
          <t>AI 초안 (공식 확인 전)</t>
        </is>
      </c>
      <c r="AD87" s="4" t="inlineStr">
        <is>
          <t>노트·농도 공식 확인 / 국내 정가 / 이미지 / 시향 가능 채널</t>
        </is>
      </c>
    </row>
    <row r="88">
      <c r="A88" s="4" t="inlineStr">
        <is>
          <t>tom-ford-black-orchid</t>
        </is>
      </c>
      <c r="B88" s="4" t="inlineStr">
        <is>
          <t>Tom Ford</t>
        </is>
      </c>
      <c r="C88" s="5" t="inlineStr">
        <is>
          <t>톰 포드</t>
        </is>
      </c>
      <c r="D88" s="4" t="inlineStr">
        <is>
          <t>Black Orchid</t>
        </is>
      </c>
      <c r="E88" s="5" t="inlineStr">
        <is>
          <t>블랙 오키드</t>
        </is>
      </c>
      <c r="F88" s="5" t="inlineStr">
        <is>
          <t>EDP</t>
        </is>
      </c>
      <c r="G88" s="5" t="inlineStr">
        <is>
          <t>Blackcurrant, Ylang-Ylang</t>
        </is>
      </c>
      <c r="H88" s="5" t="inlineStr">
        <is>
          <t>Orchid, Lotus</t>
        </is>
      </c>
      <c r="I88" s="5" t="inlineStr">
        <is>
          <t>Patchouli, Vanilla, Incense, Chocolate</t>
        </is>
      </c>
      <c r="J88" s="6" t="n"/>
      <c r="K88" s="5" t="inlineStr">
        <is>
          <t>floral</t>
        </is>
      </c>
      <c r="L88" s="5" t="inlineStr">
        <is>
          <t>gourmand, amber</t>
        </is>
      </c>
      <c r="M88" s="5" t="inlineStr">
        <is>
          <t>deep, elegant, warm, sensual</t>
        </is>
      </c>
      <c r="N88" s="5" t="inlineStr">
        <is>
          <t>heavyFloral, tooStrong</t>
        </is>
      </c>
      <c r="O88" s="5" t="inlineStr">
        <is>
          <t>strong</t>
        </is>
      </c>
      <c r="P88" s="5" t="inlineStr">
        <is>
          <t>high</t>
        </is>
      </c>
      <c r="Q88" s="5" t="inlineStr">
        <is>
          <t>가을·겨울 · 저녁</t>
        </is>
      </c>
      <c r="R88" s="5" t="inlineStr">
        <is>
          <t>어두운 꽃에 초콜릿과 인센스가 섞인 진하고 관능적인 향</t>
        </is>
      </c>
      <c r="S88" s="5" t="inlineStr">
        <is>
          <t>시간이 지나도 달콤한 패출리와 바닐라가 오래 남아요</t>
        </is>
      </c>
      <c r="T88" s="5" t="inlineStr">
        <is>
          <t>꽃 향이 진해서 호불호가 있으니 충분히 맡아보세요</t>
        </is>
      </c>
      <c r="U88" s="6" t="n"/>
      <c r="V88" s="6" t="n"/>
      <c r="W88" s="6" t="n"/>
      <c r="X88" s="6" t="n"/>
      <c r="Y88" s="4" t="inlineStr">
        <is>
          <t>톰 포드 뷰티 백화점</t>
        </is>
      </c>
      <c r="Z88" s="6" t="inlineStr">
        <is>
          <t>[확인 필요]</t>
        </is>
      </c>
      <c r="AA88" s="6" t="n"/>
      <c r="AB88" s="6" t="n"/>
      <c r="AC88" s="4" t="inlineStr">
        <is>
          <t>AI 초안 (공식 확인 전)</t>
        </is>
      </c>
      <c r="AD88" s="4" t="inlineStr">
        <is>
          <t>노트·농도 공식 확인 / 국내 정가 / 이미지 / 시향 가능 채널</t>
        </is>
      </c>
    </row>
    <row r="89">
      <c r="A89" s="4" t="inlineStr">
        <is>
          <t>tom-ford-ombre-leather</t>
        </is>
      </c>
      <c r="B89" s="4" t="inlineStr">
        <is>
          <t>Tom Ford</t>
        </is>
      </c>
      <c r="C89" s="5" t="inlineStr">
        <is>
          <t>톰 포드</t>
        </is>
      </c>
      <c r="D89" s="4" t="inlineStr">
        <is>
          <t>Ombré Leather</t>
        </is>
      </c>
      <c r="E89" s="5" t="inlineStr">
        <is>
          <t>옹브레 레더</t>
        </is>
      </c>
      <c r="F89" s="5" t="inlineStr">
        <is>
          <t>EDP</t>
        </is>
      </c>
      <c r="G89" s="5" t="inlineStr">
        <is>
          <t>Cardamom</t>
        </is>
      </c>
      <c r="H89" s="5" t="inlineStr">
        <is>
          <t>Jasmine, Leather</t>
        </is>
      </c>
      <c r="I89" s="5" t="inlineStr">
        <is>
          <t>Patchouli, Amber, Oakmoss</t>
        </is>
      </c>
      <c r="J89" s="6" t="n"/>
      <c r="K89" s="5" t="inlineStr">
        <is>
          <t>leather</t>
        </is>
      </c>
      <c r="L89" s="5" t="inlineStr">
        <is>
          <t>spicy, woody</t>
        </is>
      </c>
      <c r="M89" s="5" t="inlineStr">
        <is>
          <t>deep, warm, sensual</t>
        </is>
      </c>
      <c r="N89" s="5" t="inlineStr">
        <is>
          <t>tooStrong</t>
        </is>
      </c>
      <c r="O89" s="5" t="inlineStr">
        <is>
          <t>strong</t>
        </is>
      </c>
      <c r="P89" s="5" t="inlineStr">
        <is>
          <t>high</t>
        </is>
      </c>
      <c r="Q89" s="5" t="inlineStr">
        <is>
          <t>가을·겨울 · 저녁</t>
        </is>
      </c>
      <c r="R89" s="5" t="inlineStr">
        <is>
          <t>가죽 재킷 같은 따뜻하고 부드러운 가죽 향</t>
        </is>
      </c>
      <c r="S89" s="5" t="inlineStr">
        <is>
          <t>시간이 지나도 가죽과 패출리가 오래 남아요</t>
        </is>
      </c>
      <c r="T89" s="5" t="inlineStr">
        <is>
          <t>가죽 향이 부드러운지 거친지 확인해 보세요</t>
        </is>
      </c>
      <c r="U89" s="6" t="n"/>
      <c r="V89" s="6" t="n"/>
      <c r="W89" s="6" t="n"/>
      <c r="X89" s="6" t="n"/>
      <c r="Y89" s="4" t="inlineStr">
        <is>
          <t>톰 포드 뷰티 백화점</t>
        </is>
      </c>
      <c r="Z89" s="6" t="inlineStr">
        <is>
          <t>[확인 필요]</t>
        </is>
      </c>
      <c r="AA89" s="6" t="n"/>
      <c r="AB89" s="6" t="n"/>
      <c r="AC89" s="4" t="inlineStr">
        <is>
          <t>AI 초안 (공식 확인 전)</t>
        </is>
      </c>
      <c r="AD89" s="4" t="inlineStr">
        <is>
          <t>노트·농도 공식 확인 / 국내 정가 / 이미지 / 시향 가능 채널</t>
        </is>
      </c>
    </row>
    <row r="90">
      <c r="A90" s="4" t="inlineStr">
        <is>
          <t>hermessence-vetiver-tonka</t>
        </is>
      </c>
      <c r="B90" s="4" t="inlineStr">
        <is>
          <t>Hermès</t>
        </is>
      </c>
      <c r="C90" s="5" t="inlineStr">
        <is>
          <t>에르메스</t>
        </is>
      </c>
      <c r="D90" s="4" t="inlineStr">
        <is>
          <t>Hermessence Vétiver Tonka</t>
        </is>
      </c>
      <c r="E90" s="5" t="inlineStr">
        <is>
          <t>에르메센스 베티버 통카</t>
        </is>
      </c>
      <c r="F90" s="5" t="inlineStr">
        <is>
          <t>EDT</t>
        </is>
      </c>
      <c r="G90" s="5" t="inlineStr">
        <is>
          <t>Grapefruit, Pink Pepper</t>
        </is>
      </c>
      <c r="H90" s="5" t="inlineStr">
        <is>
          <t>Vetiver</t>
        </is>
      </c>
      <c r="I90" s="5" t="inlineStr">
        <is>
          <t>Tonka Bean</t>
        </is>
      </c>
      <c r="J90" s="6" t="n"/>
      <c r="K90" s="5" t="inlineStr">
        <is>
          <t>woody</t>
        </is>
      </c>
      <c r="L90" s="5" t="inlineStr">
        <is>
          <t>gourmand, citrus</t>
        </is>
      </c>
      <c r="M90" s="5" t="inlineStr">
        <is>
          <t>calm, warm, fresh</t>
        </is>
      </c>
      <c r="N90" s="5" t="n"/>
      <c r="O90" s="5" t="inlineStr">
        <is>
          <t>medium</t>
        </is>
      </c>
      <c r="P90" s="5" t="inlineStr">
        <is>
          <t>low</t>
        </is>
      </c>
      <c r="Q90" s="5" t="inlineStr">
        <is>
          <t>사계절 · 출근</t>
        </is>
      </c>
      <c r="R90" s="5" t="inlineStr">
        <is>
          <t>자몽의 상큼함 뒤로 부드러운 베티버와 통카빈이 이어지는 향</t>
        </is>
      </c>
      <c r="S90" s="5" t="inlineStr">
        <is>
          <t>시간이 지나면 포근한 통카빈이 은은하게 남아요</t>
        </is>
      </c>
      <c r="T90" s="5" t="inlineStr">
        <is>
          <t>베티버의 풀 향이 달콤하게 바뀌는지 맡아보세요</t>
        </is>
      </c>
      <c r="U90" s="6" t="n"/>
      <c r="V90" s="6" t="n"/>
      <c r="W90" s="6" t="n"/>
      <c r="X90" s="6" t="n"/>
      <c r="Y90" s="4" t="inlineStr">
        <is>
          <t>에르메스 뷰티 백화점</t>
        </is>
      </c>
      <c r="Z90" s="6" t="inlineStr">
        <is>
          <t>[확인 필요]</t>
        </is>
      </c>
      <c r="AA90" s="6" t="n"/>
      <c r="AB90" s="6" t="n"/>
      <c r="AC90" s="4" t="inlineStr">
        <is>
          <t>AI 초안 (공식 확인 전)</t>
        </is>
      </c>
      <c r="AD90" s="4" t="inlineStr">
        <is>
          <t>노트·농도 공식 확인 / 국내 정가 / 이미지 / 시향 가능 채널</t>
        </is>
      </c>
    </row>
    <row r="91">
      <c r="A91" s="4" t="inlineStr">
        <is>
          <t>acqua-di-parma-fico-di-amalfi</t>
        </is>
      </c>
      <c r="B91" s="4" t="inlineStr">
        <is>
          <t>Acqua di Parma</t>
        </is>
      </c>
      <c r="C91" s="5" t="inlineStr">
        <is>
          <t>아쿠아 디 파르마</t>
        </is>
      </c>
      <c r="D91" s="4" t="inlineStr">
        <is>
          <t>Fico di Amalfi</t>
        </is>
      </c>
      <c r="E91" s="5" t="inlineStr">
        <is>
          <t>피코 디 아말피</t>
        </is>
      </c>
      <c r="F91" s="5" t="inlineStr">
        <is>
          <t>EDT</t>
        </is>
      </c>
      <c r="G91" s="5" t="inlineStr">
        <is>
          <t>Bergamot, Grapefruit</t>
        </is>
      </c>
      <c r="H91" s="5" t="inlineStr">
        <is>
          <t>Fig, Jasmine</t>
        </is>
      </c>
      <c r="I91" s="5" t="inlineStr">
        <is>
          <t>Cedar, Musk</t>
        </is>
      </c>
      <c r="J91" s="6" t="n"/>
      <c r="K91" s="5" t="inlineStr">
        <is>
          <t>green</t>
        </is>
      </c>
      <c r="L91" s="5" t="inlineStr">
        <is>
          <t>citrus, fruity</t>
        </is>
      </c>
      <c r="M91" s="5" t="inlineStr">
        <is>
          <t>fresh, zesty, cool</t>
        </is>
      </c>
      <c r="N91" s="5" t="n"/>
      <c r="O91" s="5" t="inlineStr">
        <is>
          <t>light</t>
        </is>
      </c>
      <c r="P91" s="5" t="inlineStr">
        <is>
          <t>low</t>
        </is>
      </c>
      <c r="Q91" s="5" t="inlineStr">
        <is>
          <t>봄·여름 · 데일리</t>
        </is>
      </c>
      <c r="R91" s="5" t="inlineStr">
        <is>
          <t>지중해 무화과와 시트러스의 싱그러운 향</t>
        </is>
      </c>
      <c r="S91" s="5" t="inlineStr">
        <is>
          <t>몇 시간 뒤엔 가벼운 시더와 머스크가 남아요</t>
        </is>
      </c>
      <c r="T91" s="5" t="inlineStr">
        <is>
          <t>무화과의 풋풋함과 시트러스의 균형을 맡아보세요</t>
        </is>
      </c>
      <c r="U91" s="6" t="n"/>
      <c r="V91" s="6" t="n"/>
      <c r="W91" s="6" t="n"/>
      <c r="X91" s="6" t="n"/>
      <c r="Y91" s="4" t="inlineStr">
        <is>
          <t>아쿠아 디 파르마 백화점</t>
        </is>
      </c>
      <c r="Z91" s="6" t="inlineStr">
        <is>
          <t>[확인 필요]</t>
        </is>
      </c>
      <c r="AA91" s="6" t="n"/>
      <c r="AB91" s="6" t="n"/>
      <c r="AC91" s="4" t="inlineStr">
        <is>
          <t>AI 초안 (공식 확인 전)</t>
        </is>
      </c>
      <c r="AD91" s="4" t="inlineStr">
        <is>
          <t>노트·농도 공식 확인 / 국내 정가 / 이미지 / 시향 가능 채널</t>
        </is>
      </c>
    </row>
    <row r="92">
      <c r="A92" s="4" t="inlineStr">
        <is>
          <t>penhaligons-blenheim-bouquet</t>
        </is>
      </c>
      <c r="B92" s="4" t="inlineStr">
        <is>
          <t>Penhaligon's</t>
        </is>
      </c>
      <c r="C92" s="5" t="inlineStr">
        <is>
          <t>펜할리곤스</t>
        </is>
      </c>
      <c r="D92" s="4" t="inlineStr">
        <is>
          <t>Blenheim Bouquet</t>
        </is>
      </c>
      <c r="E92" s="5" t="inlineStr">
        <is>
          <t>블레넘 부케</t>
        </is>
      </c>
      <c r="F92" s="5" t="inlineStr">
        <is>
          <t>EDT</t>
        </is>
      </c>
      <c r="G92" s="5" t="inlineStr">
        <is>
          <t>Lemon, Lime, Pine Needles</t>
        </is>
      </c>
      <c r="H92" s="5" t="inlineStr">
        <is>
          <t>Lavender, Pepper</t>
        </is>
      </c>
      <c r="I92" s="5" t="inlineStr">
        <is>
          <t>Musk, Sandalwood</t>
        </is>
      </c>
      <c r="J92" s="6" t="n"/>
      <c r="K92" s="5" t="inlineStr">
        <is>
          <t>aromatic</t>
        </is>
      </c>
      <c r="L92" s="5" t="inlineStr">
        <is>
          <t>citrus, woody</t>
        </is>
      </c>
      <c r="M92" s="5" t="inlineStr">
        <is>
          <t>fresh, clean, cool</t>
        </is>
      </c>
      <c r="N92" s="5" t="n"/>
      <c r="O92" s="5" t="inlineStr">
        <is>
          <t>medium</t>
        </is>
      </c>
      <c r="P92" s="5" t="inlineStr">
        <is>
          <t>mid</t>
        </is>
      </c>
      <c r="Q92" s="5" t="inlineStr">
        <is>
          <t>사계절 · 출근</t>
        </is>
      </c>
      <c r="R92" s="5" t="inlineStr">
        <is>
          <t>영국 정원 같은 상쾌한 시트러스와 라벤더 향</t>
        </is>
      </c>
      <c r="S92" s="5" t="inlineStr">
        <is>
          <t>시간이 지나면 부드러운 머스크와 나무 향이 남아요</t>
        </is>
      </c>
      <c r="T92" s="5" t="inlineStr">
        <is>
          <t>첫 향의 솔잎과 레몬이 얼마나 알싸한지 맡아보세요</t>
        </is>
      </c>
      <c r="U92" s="6" t="n"/>
      <c r="V92" s="6" t="n"/>
      <c r="W92" s="6" t="n"/>
      <c r="X92" s="6" t="n"/>
      <c r="Y92" s="4" t="inlineStr">
        <is>
          <t>펜할리곤스 백화점</t>
        </is>
      </c>
      <c r="Z92" s="6" t="inlineStr">
        <is>
          <t>[확인 필요]</t>
        </is>
      </c>
      <c r="AA92" s="6" t="n"/>
      <c r="AB92" s="6" t="n"/>
      <c r="AC92" s="4" t="inlineStr">
        <is>
          <t>AI 초안 (공식 확인 전)</t>
        </is>
      </c>
      <c r="AD92" s="4" t="inlineStr">
        <is>
          <t>노트·농도 공식 확인 / 국내 정가 / 이미지 / 시향 가능 채널</t>
        </is>
      </c>
    </row>
    <row r="93">
      <c r="A93" s="4" t="inlineStr">
        <is>
          <t>atelier-cologne-orange-sanguine</t>
        </is>
      </c>
      <c r="B93" s="4" t="inlineStr">
        <is>
          <t>Atelier Cologne</t>
        </is>
      </c>
      <c r="C93" s="5" t="inlineStr">
        <is>
          <t>아틀리에 코롱</t>
        </is>
      </c>
      <c r="D93" s="4" t="inlineStr">
        <is>
          <t>Orange Sanguine</t>
        </is>
      </c>
      <c r="E93" s="5" t="inlineStr">
        <is>
          <t>오랑쥬 상긴</t>
        </is>
      </c>
      <c r="F93" s="5" t="inlineStr">
        <is>
          <t>Cologne Absolue</t>
        </is>
      </c>
      <c r="G93" s="5" t="inlineStr">
        <is>
          <t>Orange, Mandarin</t>
        </is>
      </c>
      <c r="H93" s="5" t="inlineStr">
        <is>
          <t>Jasmine</t>
        </is>
      </c>
      <c r="I93" s="5" t="inlineStr">
        <is>
          <t>Cedar, Musk</t>
        </is>
      </c>
      <c r="J93" s="6" t="n"/>
      <c r="K93" s="5" t="inlineStr">
        <is>
          <t>citrus</t>
        </is>
      </c>
      <c r="L93" s="5" t="inlineStr">
        <is>
          <t>fruity, whiteFloral</t>
        </is>
      </c>
      <c r="M93" s="5" t="inlineStr">
        <is>
          <t>zesty, fresh, warm</t>
        </is>
      </c>
      <c r="N93" s="5" t="n"/>
      <c r="O93" s="5" t="inlineStr">
        <is>
          <t>light</t>
        </is>
      </c>
      <c r="P93" s="5" t="inlineStr">
        <is>
          <t>low</t>
        </is>
      </c>
      <c r="Q93" s="5" t="inlineStr">
        <is>
          <t>봄·여름 · 데일리</t>
        </is>
      </c>
      <c r="R93" s="5" t="inlineStr">
        <is>
          <t>블러드 오렌지의 상큼하고 달콤한 향</t>
        </is>
      </c>
      <c r="S93" s="5" t="inlineStr">
        <is>
          <t>몇 시간 뒤엔 가벼운 머스크와 나무 향이 남아요</t>
        </is>
      </c>
      <c r="T93" s="5" t="inlineStr">
        <is>
          <t>오렌지의 상큼함이 얼마나 오래 가는지 확인해 보세요</t>
        </is>
      </c>
      <c r="U93" s="6" t="n"/>
      <c r="V93" s="6" t="n"/>
      <c r="W93" s="6" t="n"/>
      <c r="X93" s="6" t="n"/>
      <c r="Y93" s="4" t="inlineStr">
        <is>
          <t>아틀리에 코롱 백화점</t>
        </is>
      </c>
      <c r="Z93" s="6" t="inlineStr">
        <is>
          <t>[확인 필요]</t>
        </is>
      </c>
      <c r="AA93" s="6" t="n"/>
      <c r="AB93" s="6" t="n"/>
      <c r="AC93" s="4" t="inlineStr">
        <is>
          <t>AI 초안 (공식 확인 전)</t>
        </is>
      </c>
      <c r="AD93" s="4" t="inlineStr">
        <is>
          <t>노트·농도 공식 확인 / 국내 정가 / 이미지 / 시향 가능 채널</t>
        </is>
      </c>
    </row>
    <row r="94">
      <c r="A94" s="4" t="inlineStr">
        <is>
          <t>xerjoff-naxos</t>
        </is>
      </c>
      <c r="B94" s="4" t="inlineStr">
        <is>
          <t>Xerjoff</t>
        </is>
      </c>
      <c r="C94" s="5" t="inlineStr">
        <is>
          <t>제르조프</t>
        </is>
      </c>
      <c r="D94" s="4" t="inlineStr">
        <is>
          <t>Naxos</t>
        </is>
      </c>
      <c r="E94" s="5" t="inlineStr">
        <is>
          <t>낙소스</t>
        </is>
      </c>
      <c r="F94" s="5" t="inlineStr">
        <is>
          <t>EDP</t>
        </is>
      </c>
      <c r="G94" s="5" t="inlineStr">
        <is>
          <t>Bergamot, Lemon, Lavender</t>
        </is>
      </c>
      <c r="H94" s="5" t="inlineStr">
        <is>
          <t>Honey, Cinnamon, Cashmeran</t>
        </is>
      </c>
      <c r="I94" s="5" t="inlineStr">
        <is>
          <t>Tobacco Leaf, Tonka Bean, Vanilla</t>
        </is>
      </c>
      <c r="J94" s="6" t="n"/>
      <c r="K94" s="5" t="inlineStr">
        <is>
          <t>gourmand</t>
        </is>
      </c>
      <c r="L94" s="5" t="inlineStr">
        <is>
          <t>spicy, leather</t>
        </is>
      </c>
      <c r="M94" s="5" t="inlineStr">
        <is>
          <t>warm, sweet, deep, sensual</t>
        </is>
      </c>
      <c r="N94" s="5" t="inlineStr">
        <is>
          <t>tooSweet, tooStrong</t>
        </is>
      </c>
      <c r="O94" s="5" t="inlineStr">
        <is>
          <t>strong</t>
        </is>
      </c>
      <c r="P94" s="5" t="inlineStr">
        <is>
          <t>high</t>
        </is>
      </c>
      <c r="Q94" s="5" t="inlineStr">
        <is>
          <t>가을·겨울 · 저녁</t>
        </is>
      </c>
      <c r="R94" s="5" t="inlineStr">
        <is>
          <t>꿀과 담배, 바닐라가 어우러진 달콤하고 진한 향</t>
        </is>
      </c>
      <c r="S94" s="5" t="inlineStr">
        <is>
          <t>시간이 지나도 달콤한 담배 향이 오래 남아요</t>
        </is>
      </c>
      <c r="T94" s="5" t="inlineStr">
        <is>
          <t>꿀의 달콤함이 부담스럽지 않은지 확인해 보세요</t>
        </is>
      </c>
      <c r="U94" s="6" t="n"/>
      <c r="V94" s="6" t="n"/>
      <c r="W94" s="6" t="n"/>
      <c r="X94" s="6" t="n"/>
      <c r="Y94" s="4" t="inlineStr">
        <is>
          <t>제르조프 백화점</t>
        </is>
      </c>
      <c r="Z94" s="6" t="inlineStr">
        <is>
          <t>[확인 필요]</t>
        </is>
      </c>
      <c r="AA94" s="6" t="n"/>
      <c r="AB94" s="6" t="n"/>
      <c r="AC94" s="4" t="inlineStr">
        <is>
          <t>AI 초안 (공식 확인 전)</t>
        </is>
      </c>
      <c r="AD94" s="4" t="inlineStr">
        <is>
          <t>노트·농도 공식 확인 / 국내 정가 / 이미지 / 시향 가능 채널</t>
        </is>
      </c>
    </row>
    <row r="95">
      <c r="A95" s="4" t="inlineStr">
        <is>
          <t>escentric-molecules-molecule-01</t>
        </is>
      </c>
      <c r="B95" s="4" t="inlineStr">
        <is>
          <t>Escentric Molecules</t>
        </is>
      </c>
      <c r="C95" s="5" t="inlineStr">
        <is>
          <t>에센트릭 몰큘스</t>
        </is>
      </c>
      <c r="D95" s="4" t="inlineStr">
        <is>
          <t>Molecule 01</t>
        </is>
      </c>
      <c r="E95" s="5" t="inlineStr">
        <is>
          <t>몰큘 01</t>
        </is>
      </c>
      <c r="F95" s="5" t="inlineStr">
        <is>
          <t>EDT</t>
        </is>
      </c>
      <c r="G95" s="5" t="inlineStr">
        <is>
          <t>Iso E Super</t>
        </is>
      </c>
      <c r="H95" s="5" t="n"/>
      <c r="I95" s="5" t="n"/>
      <c r="J95" s="6" t="n"/>
      <c r="K95" s="5" t="inlineStr">
        <is>
          <t>woody</t>
        </is>
      </c>
      <c r="L95" s="5" t="inlineStr">
        <is>
          <t>musk</t>
        </is>
      </c>
      <c r="M95" s="5" t="inlineStr">
        <is>
          <t>clean, soft, calm</t>
        </is>
      </c>
      <c r="N95" s="5" t="n"/>
      <c r="O95" s="5" t="inlineStr">
        <is>
          <t>light</t>
        </is>
      </c>
      <c r="P95" s="5" t="inlineStr">
        <is>
          <t>low</t>
        </is>
      </c>
      <c r="Q95" s="5" t="inlineStr">
        <is>
          <t>사계절 · 데일리</t>
        </is>
      </c>
      <c r="R95" s="5" t="inlineStr">
        <is>
          <t>한 가지 성분만 쓴 투명하고 부드러운 나무 향</t>
        </is>
      </c>
      <c r="S95" s="5" t="inlineStr">
        <is>
          <t>피부에 은은하게 오래 남아요</t>
        </is>
      </c>
      <c r="T95" s="5" t="inlineStr">
        <is>
          <t>향이 약하니 손목에서 시간을 두고 맡아보세요</t>
        </is>
      </c>
      <c r="U95" s="6" t="n"/>
      <c r="V95" s="6" t="n"/>
      <c r="W95" s="6" t="n"/>
      <c r="X95" s="6" t="n"/>
      <c r="Y95" s="4" t="inlineStr">
        <is>
          <t>에센트릭 몰큘스 백화점</t>
        </is>
      </c>
      <c r="Z95" s="6" t="inlineStr">
        <is>
          <t>[확인 필요]</t>
        </is>
      </c>
      <c r="AA95" s="6" t="n"/>
      <c r="AB95" s="6" t="n"/>
      <c r="AC95" s="4" t="inlineStr">
        <is>
          <t>AI 초안 (공식 확인 전)</t>
        </is>
      </c>
      <c r="AD95" s="4" t="inlineStr">
        <is>
          <t>노트·농도 공식 확인 / 국내 정가 / 이미지 / 시향 가능 채널</t>
        </is>
      </c>
    </row>
    <row r="96">
      <c r="A96" s="4" t="inlineStr">
        <is>
          <t>escentric-molecules-molecule-02</t>
        </is>
      </c>
      <c r="B96" s="4" t="inlineStr">
        <is>
          <t>Escentric Molecules</t>
        </is>
      </c>
      <c r="C96" s="5" t="inlineStr">
        <is>
          <t>에센트릭 몰큘스</t>
        </is>
      </c>
      <c r="D96" s="4" t="inlineStr">
        <is>
          <t>Molecule 02</t>
        </is>
      </c>
      <c r="E96" s="5" t="inlineStr">
        <is>
          <t>몰큘 02</t>
        </is>
      </c>
      <c r="F96" s="5" t="inlineStr">
        <is>
          <t>EDT</t>
        </is>
      </c>
      <c r="G96" s="5" t="inlineStr">
        <is>
          <t>Ambroxan</t>
        </is>
      </c>
      <c r="H96" s="5" t="n"/>
      <c r="I96" s="5" t="n"/>
      <c r="J96" s="6" t="n"/>
      <c r="K96" s="5" t="inlineStr">
        <is>
          <t>musk</t>
        </is>
      </c>
      <c r="L96" s="5" t="inlineStr">
        <is>
          <t>woody</t>
        </is>
      </c>
      <c r="M96" s="5" t="inlineStr">
        <is>
          <t>clean, soft, calm</t>
        </is>
      </c>
      <c r="N96" s="5" t="n"/>
      <c r="O96" s="5" t="inlineStr">
        <is>
          <t>light</t>
        </is>
      </c>
      <c r="P96" s="5" t="inlineStr">
        <is>
          <t>low</t>
        </is>
      </c>
      <c r="Q96" s="5" t="inlineStr">
        <is>
          <t>사계절 · 데일리</t>
        </is>
      </c>
      <c r="R96" s="5" t="inlineStr">
        <is>
          <t>한 가지 성분만 쓴 깨끗하고 따뜻한 피부 향</t>
        </is>
      </c>
      <c r="S96" s="5" t="inlineStr">
        <is>
          <t>피부에 은은하게 오래 남아요</t>
        </is>
      </c>
      <c r="T96" s="5" t="inlineStr">
        <is>
          <t>향이 약하니 손목에서 시간을 두고 맡아보세요</t>
        </is>
      </c>
      <c r="U96" s="6" t="n"/>
      <c r="V96" s="6" t="n"/>
      <c r="W96" s="6" t="n"/>
      <c r="X96" s="6" t="n"/>
      <c r="Y96" s="4" t="inlineStr">
        <is>
          <t>에센트릭 몰큘스 백화점</t>
        </is>
      </c>
      <c r="Z96" s="6" t="inlineStr">
        <is>
          <t>[확인 필요]</t>
        </is>
      </c>
      <c r="AA96" s="6" t="n"/>
      <c r="AB96" s="6" t="n"/>
      <c r="AC96" s="4" t="inlineStr">
        <is>
          <t>AI 초안 (공식 확인 전)</t>
        </is>
      </c>
      <c r="AD96" s="4" t="inlineStr">
        <is>
          <t>노트·농도 공식 확인 / 국내 정가 / 이미지 / 시향 가능 채널</t>
        </is>
      </c>
    </row>
    <row r="97">
      <c r="A97" s="4" t="inlineStr">
        <is>
          <t>juliette-has-a-gun-not-a-perfume</t>
        </is>
      </c>
      <c r="B97" s="4" t="inlineStr">
        <is>
          <t>Juliette Has a Gun</t>
        </is>
      </c>
      <c r="C97" s="5" t="inlineStr">
        <is>
          <t>줄리엣 해즈 어 건</t>
        </is>
      </c>
      <c r="D97" s="4" t="inlineStr">
        <is>
          <t>Not a Perfume</t>
        </is>
      </c>
      <c r="E97" s="5" t="inlineStr">
        <is>
          <t>낫 어 퍼퓸</t>
        </is>
      </c>
      <c r="F97" s="5" t="inlineStr">
        <is>
          <t>EDP</t>
        </is>
      </c>
      <c r="G97" s="5" t="inlineStr">
        <is>
          <t>Cetalox</t>
        </is>
      </c>
      <c r="H97" s="5" t="n"/>
      <c r="I97" s="5" t="n"/>
      <c r="J97" s="6" t="n"/>
      <c r="K97" s="5" t="inlineStr">
        <is>
          <t>musk</t>
        </is>
      </c>
      <c r="L97" s="5" t="inlineStr">
        <is>
          <t>amber</t>
        </is>
      </c>
      <c r="M97" s="5" t="inlineStr">
        <is>
          <t>clean, soft, calm</t>
        </is>
      </c>
      <c r="N97" s="5" t="n"/>
      <c r="O97" s="5" t="inlineStr">
        <is>
          <t>light</t>
        </is>
      </c>
      <c r="P97" s="5" t="inlineStr">
        <is>
          <t>low</t>
        </is>
      </c>
      <c r="Q97" s="5" t="inlineStr">
        <is>
          <t>사계절 · 데일리</t>
        </is>
      </c>
      <c r="R97" s="5" t="inlineStr">
        <is>
          <t>한 가지 성분만 쓴 깨끗한 피부 같은 향</t>
        </is>
      </c>
      <c r="S97" s="5" t="inlineStr">
        <is>
          <t>피부에 은은하게 오래 남아요</t>
        </is>
      </c>
      <c r="T97" s="5" t="inlineStr">
        <is>
          <t>향이 약하니 손목에서 시간을 두고 맡아보세요</t>
        </is>
      </c>
      <c r="U97" s="6" t="n"/>
      <c r="V97" s="6" t="n"/>
      <c r="W97" s="6" t="n"/>
      <c r="X97" s="6" t="n"/>
      <c r="Y97" s="4" t="inlineStr">
        <is>
          <t>줄리엣 해즈 어 건 백화점</t>
        </is>
      </c>
      <c r="Z97" s="6" t="inlineStr">
        <is>
          <t>[확인 필요]</t>
        </is>
      </c>
      <c r="AA97" s="6" t="n"/>
      <c r="AB97" s="6" t="n"/>
      <c r="AC97" s="4" t="inlineStr">
        <is>
          <t>AI 초안 (공식 확인 전)</t>
        </is>
      </c>
      <c r="AD97" s="4" t="inlineStr">
        <is>
          <t>노트·농도 공식 확인 / 국내 정가 / 이미지 / 시향 가능 채널</t>
        </is>
      </c>
    </row>
    <row r="98">
      <c r="A98" s="4" t="inlineStr">
        <is>
          <t>ex-nihilo-fleur-narcotique</t>
        </is>
      </c>
      <c r="B98" s="4" t="inlineStr">
        <is>
          <t>Ex Nihilo</t>
        </is>
      </c>
      <c r="C98" s="5" t="inlineStr">
        <is>
          <t>엑스 니힐로</t>
        </is>
      </c>
      <c r="D98" s="4" t="inlineStr">
        <is>
          <t>Fleur Narcotique</t>
        </is>
      </c>
      <c r="E98" s="5" t="inlineStr">
        <is>
          <t>플뢰르 나르코티크</t>
        </is>
      </c>
      <c r="F98" s="5" t="inlineStr">
        <is>
          <t>EDP</t>
        </is>
      </c>
      <c r="G98" s="5" t="inlineStr">
        <is>
          <t>Lychee, Bergamot, Peach</t>
        </is>
      </c>
      <c r="H98" s="5" t="inlineStr">
        <is>
          <t>Peony, Jasmine</t>
        </is>
      </c>
      <c r="I98" s="5" t="inlineStr">
        <is>
          <t>Musk, Amber, Vanilla</t>
        </is>
      </c>
      <c r="J98" s="6" t="n"/>
      <c r="K98" s="5" t="inlineStr">
        <is>
          <t>floral</t>
        </is>
      </c>
      <c r="L98" s="5" t="inlineStr">
        <is>
          <t>fruity, whiteFloral</t>
        </is>
      </c>
      <c r="M98" s="5" t="inlineStr">
        <is>
          <t>sweet, elegant, soft, lovely</t>
        </is>
      </c>
      <c r="N98" s="5" t="n"/>
      <c r="O98" s="5" t="inlineStr">
        <is>
          <t>medium</t>
        </is>
      </c>
      <c r="P98" s="5" t="inlineStr">
        <is>
          <t>mid</t>
        </is>
      </c>
      <c r="Q98" s="5" t="inlineStr">
        <is>
          <t>봄·가을 · 데이트</t>
        </is>
      </c>
      <c r="R98" s="5" t="inlineStr">
        <is>
          <t>과즙 가득한 과일과 하얀 꽃이 어우러진 향</t>
        </is>
      </c>
      <c r="S98" s="5" t="inlineStr">
        <is>
          <t>시간이 지나면 부드러운 머스크와 앰버가 남아요</t>
        </is>
      </c>
      <c r="T98" s="5" t="inlineStr">
        <is>
          <t>과일 향이 꽃 향으로 이어지는 흐름을 맡아보세요</t>
        </is>
      </c>
      <c r="U98" s="6" t="n"/>
      <c r="V98" s="6" t="n"/>
      <c r="W98" s="6" t="n"/>
      <c r="X98" s="6" t="n"/>
      <c r="Y98" s="4" t="inlineStr">
        <is>
          <t>엑스 니힐로 백화점</t>
        </is>
      </c>
      <c r="Z98" s="6" t="inlineStr">
        <is>
          <t>[확인 필요]</t>
        </is>
      </c>
      <c r="AA98" s="6" t="n"/>
      <c r="AB98" s="6" t="n"/>
      <c r="AC98" s="4" t="inlineStr">
        <is>
          <t>AI 초안 (공식 확인 전)</t>
        </is>
      </c>
      <c r="AD98" s="4" t="inlineStr">
        <is>
          <t>노트·농도 공식 확인 / 국내 정가 / 이미지 / 시향 가능 채널</t>
        </is>
      </c>
    </row>
    <row r="99">
      <c r="A99" s="4" t="inlineStr">
        <is>
          <t>parfums-de-marly-herod</t>
        </is>
      </c>
      <c r="B99" s="4" t="inlineStr">
        <is>
          <t>Parfums de Marly</t>
        </is>
      </c>
      <c r="C99" s="5" t="inlineStr">
        <is>
          <t>퍼퓸 드 말리</t>
        </is>
      </c>
      <c r="D99" s="4" t="inlineStr">
        <is>
          <t>Herod</t>
        </is>
      </c>
      <c r="E99" s="5" t="inlineStr">
        <is>
          <t>헤로드</t>
        </is>
      </c>
      <c r="F99" s="5" t="inlineStr">
        <is>
          <t>EDP</t>
        </is>
      </c>
      <c r="G99" s="5" t="inlineStr">
        <is>
          <t>Cinnamon, Pepper</t>
        </is>
      </c>
      <c r="H99" s="5" t="inlineStr">
        <is>
          <t>Tobacco Leaf, Vanilla</t>
        </is>
      </c>
      <c r="I99" s="5" t="inlineStr">
        <is>
          <t>Cedar, Musk, Labdanum</t>
        </is>
      </c>
      <c r="J99" s="6" t="n"/>
      <c r="K99" s="5" t="inlineStr">
        <is>
          <t>leather</t>
        </is>
      </c>
      <c r="L99" s="5" t="inlineStr">
        <is>
          <t>gourmand, spicy</t>
        </is>
      </c>
      <c r="M99" s="5" t="inlineStr">
        <is>
          <t>warm, cozy, deep, sensual</t>
        </is>
      </c>
      <c r="N99" s="5" t="inlineStr">
        <is>
          <t>tooSweet</t>
        </is>
      </c>
      <c r="O99" s="5" t="inlineStr">
        <is>
          <t>strong</t>
        </is>
      </c>
      <c r="P99" s="5" t="inlineStr">
        <is>
          <t>mid</t>
        </is>
      </c>
      <c r="Q99" s="5" t="inlineStr">
        <is>
          <t>가을·겨울 · 저녁</t>
        </is>
      </c>
      <c r="R99" s="5" t="inlineStr">
        <is>
          <t>계피와 담배, 바닐라가 어우러진 따뜻하고 달콤한 향</t>
        </is>
      </c>
      <c r="S99" s="5" t="inlineStr">
        <is>
          <t>시간이 지나도 달콤한 담배 향이 오래 남아요</t>
        </is>
      </c>
      <c r="T99" s="5" t="inlineStr">
        <is>
          <t>계피와 담배의 달콤함을 맡아보세요</t>
        </is>
      </c>
      <c r="U99" s="6" t="n"/>
      <c r="V99" s="6" t="n"/>
      <c r="W99" s="6" t="n"/>
      <c r="X99" s="6" t="n"/>
      <c r="Y99" s="4" t="inlineStr">
        <is>
          <t>퍼퓸 드 말리 백화점</t>
        </is>
      </c>
      <c r="Z99" s="6" t="inlineStr">
        <is>
          <t>[확인 필요]</t>
        </is>
      </c>
      <c r="AA99" s="6" t="n"/>
      <c r="AB99" s="6" t="n"/>
      <c r="AC99" s="4" t="inlineStr">
        <is>
          <t>AI 초안 (공식 확인 전)</t>
        </is>
      </c>
      <c r="AD99" s="4" t="inlineStr">
        <is>
          <t>노트·농도 공식 확인 / 국내 정가 / 이미지 / 시향 가능 채널</t>
        </is>
      </c>
    </row>
    <row r="100">
      <c r="A100" s="4" t="inlineStr">
        <is>
          <t>chanel-coromandel</t>
        </is>
      </c>
      <c r="B100" s="4" t="inlineStr">
        <is>
          <t>Chanel</t>
        </is>
      </c>
      <c r="C100" s="5" t="inlineStr">
        <is>
          <t>샤넬</t>
        </is>
      </c>
      <c r="D100" s="4" t="inlineStr">
        <is>
          <t>Coromandel (Les Exclusifs)</t>
        </is>
      </c>
      <c r="E100" s="5" t="inlineStr">
        <is>
          <t>코로만델 (레 젝스클루지프)</t>
        </is>
      </c>
      <c r="F100" s="5" t="inlineStr">
        <is>
          <t>EDP</t>
        </is>
      </c>
      <c r="G100" s="5" t="inlineStr">
        <is>
          <t>Orange, Bergamot</t>
        </is>
      </c>
      <c r="H100" s="5" t="inlineStr">
        <is>
          <t>Patchouli, Benzoin, Incense</t>
        </is>
      </c>
      <c r="I100" s="5" t="inlineStr">
        <is>
          <t>Vanilla, Chocolate, Amber</t>
        </is>
      </c>
      <c r="J100" s="6" t="n"/>
      <c r="K100" s="5" t="inlineStr">
        <is>
          <t>amber</t>
        </is>
      </c>
      <c r="L100" s="5" t="inlineStr">
        <is>
          <t>gourmand, woody</t>
        </is>
      </c>
      <c r="M100" s="5" t="inlineStr">
        <is>
          <t>warm, cozy, deep, sensual</t>
        </is>
      </c>
      <c r="N100" s="5" t="inlineStr">
        <is>
          <t>tooSweet</t>
        </is>
      </c>
      <c r="O100" s="5" t="inlineStr">
        <is>
          <t>strong</t>
        </is>
      </c>
      <c r="P100" s="5" t="inlineStr">
        <is>
          <t>mid</t>
        </is>
      </c>
      <c r="Q100" s="5" t="inlineStr">
        <is>
          <t>가을·겨울 · 저녁</t>
        </is>
      </c>
      <c r="R100" s="5" t="inlineStr">
        <is>
          <t>화이트 초콜릿과 패출리가 어우러진 따뜻하고 달콤한 향</t>
        </is>
      </c>
      <c r="S100" s="5" t="inlineStr">
        <is>
          <t>시간이 지나도 포근한 앰버와 바닐라가 오래 남아요</t>
        </is>
      </c>
      <c r="T100" s="5" t="inlineStr">
        <is>
          <t>달콤한 첫 향이 패출리로 이어지는지 맡아보세요</t>
        </is>
      </c>
      <c r="U100" s="6" t="n"/>
      <c r="V100" s="6" t="n"/>
      <c r="W100" s="6" t="n"/>
      <c r="X100" s="6" t="n"/>
      <c r="Y100" s="4" t="inlineStr">
        <is>
          <t>샤넬 뷰티 백화점</t>
        </is>
      </c>
      <c r="Z100" s="6" t="inlineStr">
        <is>
          <t>[확인 필요]</t>
        </is>
      </c>
      <c r="AA100" s="6" t="n"/>
      <c r="AB100" s="6" t="n"/>
      <c r="AC100" s="4" t="inlineStr">
        <is>
          <t>AI 초안 (공식 확인 전)</t>
        </is>
      </c>
      <c r="AD100" s="4" t="inlineStr">
        <is>
          <t>노트·농도 공식 확인 / 국내 정가 / 이미지 / 시향 가능 채널</t>
        </is>
      </c>
    </row>
  </sheetData>
  <autoFilter ref="A1:AD100"/>
  <dataValidations count="3">
    <dataValidation sqref="K2:K200" showDropDown="0" showInputMessage="0" showErrorMessage="0" allowBlank="1" type="list">
      <formula1>=options!$A$3:$A$16</formula1>
    </dataValidation>
    <dataValidation sqref="O2:O200" showDropDown="0" showInputMessage="0" showErrorMessage="0" allowBlank="1" type="list">
      <formula1>"light,medium,strong"</formula1>
    </dataValidation>
    <dataValidation sqref="P2:P200" showDropDown="0" showInputMessage="0" showErrorMessage="0" allowBlank="1" type="list">
      <formula1>"low,mid,high"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14" customWidth="1" min="4" max="4"/>
    <col width="10" customWidth="1" min="5" max="5"/>
  </cols>
  <sheetData>
    <row r="1">
      <c r="A1" s="7" t="inlineStr">
        <is>
          <t>ingredient_en</t>
        </is>
      </c>
      <c r="B1" s="7" t="inlineStr">
        <is>
          <t>ingredient_ko</t>
        </is>
      </c>
      <c r="C1" s="7" t="inlineStr">
        <is>
          <t>feel</t>
        </is>
      </c>
      <c r="D1" s="7" t="inlineStr">
        <is>
          <t>family</t>
        </is>
      </c>
      <c r="E1" s="7" t="inlineStr">
        <is>
          <t>used_in</t>
        </is>
      </c>
    </row>
    <row r="2">
      <c r="A2" s="5" t="inlineStr">
        <is>
          <t>Aldehydes</t>
        </is>
      </c>
      <c r="B2" s="5" t="inlineStr">
        <is>
          <t>알데하이드</t>
        </is>
      </c>
      <c r="C2" s="5" t="inlineStr">
        <is>
          <t>비누처럼 깨끗하고 반짝이는 향</t>
        </is>
      </c>
      <c r="D2" s="5" t="inlineStr">
        <is>
          <t>musk</t>
        </is>
      </c>
      <c r="E2" s="8">
        <f>COUNTIF(perfumes!$G$2:$I$100,"*"&amp;A2&amp;"*")</f>
        <v/>
      </c>
    </row>
    <row r="3">
      <c r="A3" s="5" t="inlineStr">
        <is>
          <t>Amber</t>
        </is>
      </c>
      <c r="B3" s="5" t="inlineStr">
        <is>
          <t>앰버</t>
        </is>
      </c>
      <c r="C3" s="5" t="inlineStr">
        <is>
          <t>따뜻하고 달콤한 수지 향</t>
        </is>
      </c>
      <c r="D3" s="5" t="inlineStr">
        <is>
          <t>amber</t>
        </is>
      </c>
      <c r="E3" s="8">
        <f>COUNTIF(perfumes!$G$2:$I$100,"*"&amp;A3&amp;"*")</f>
        <v/>
      </c>
    </row>
    <row r="4">
      <c r="A4" s="5" t="inlineStr">
        <is>
          <t>Ambergris</t>
        </is>
      </c>
      <c r="B4" s="5" t="inlineStr">
        <is>
          <t>앰버그리스</t>
        </is>
      </c>
      <c r="C4" s="5" t="inlineStr">
        <is>
          <t>따뜻하고 짭짤한 바다 같은 부드러운 향</t>
        </is>
      </c>
      <c r="D4" s="5" t="inlineStr">
        <is>
          <t>amber</t>
        </is>
      </c>
      <c r="E4" s="8">
        <f>COUNTIF(perfumes!$G$2:$I$100,"*"&amp;A4&amp;"*")</f>
        <v/>
      </c>
    </row>
    <row r="5">
      <c r="A5" s="5" t="inlineStr">
        <is>
          <t>Amberwood</t>
        </is>
      </c>
      <c r="B5" s="5" t="inlineStr">
        <is>
          <t>앰버우드</t>
        </is>
      </c>
      <c r="C5" s="5" t="inlineStr">
        <is>
          <t>따뜻하고 달콤한 나무 향</t>
        </is>
      </c>
      <c r="D5" s="5" t="inlineStr">
        <is>
          <t>amber</t>
        </is>
      </c>
      <c r="E5" s="8">
        <f>COUNTIF(perfumes!$G$2:$I$100,"*"&amp;A5&amp;"*")</f>
        <v/>
      </c>
    </row>
    <row r="6">
      <c r="A6" s="5" t="inlineStr">
        <is>
          <t>Ambrette</t>
        </is>
      </c>
      <c r="B6" s="5" t="inlineStr">
        <is>
          <t>앰브레트</t>
        </is>
      </c>
      <c r="C6" s="5" t="inlineStr">
        <is>
          <t>따뜻한 피부와 꽃을 닮은 은은한 향</t>
        </is>
      </c>
      <c r="D6" s="5" t="inlineStr">
        <is>
          <t>musk</t>
        </is>
      </c>
      <c r="E6" s="8">
        <f>COUNTIF(perfumes!$G$2:$I$100,"*"&amp;A6&amp;"*")</f>
        <v/>
      </c>
    </row>
    <row r="7">
      <c r="A7" s="5" t="inlineStr">
        <is>
          <t>Ambroxan</t>
        </is>
      </c>
      <c r="B7" s="5" t="inlineStr">
        <is>
          <t>암브록산</t>
        </is>
      </c>
      <c r="C7" s="5" t="inlineStr">
        <is>
          <t>깨끗하고 따뜻한 피부 같은 은은한 향</t>
        </is>
      </c>
      <c r="D7" s="5" t="inlineStr">
        <is>
          <t>musk</t>
        </is>
      </c>
      <c r="E7" s="8">
        <f>COUNTIF(perfumes!$G$2:$I$100,"*"&amp;A7&amp;"*")</f>
        <v/>
      </c>
    </row>
    <row r="8">
      <c r="A8" s="5" t="inlineStr">
        <is>
          <t>Apple</t>
        </is>
      </c>
      <c r="B8" s="5" t="inlineStr">
        <is>
          <t>사과</t>
        </is>
      </c>
      <c r="C8" s="5" t="inlineStr">
        <is>
          <t>아삭하고 풋풋한 사과 향</t>
        </is>
      </c>
      <c r="D8" s="5" t="inlineStr">
        <is>
          <t>fruity</t>
        </is>
      </c>
      <c r="E8" s="8">
        <f>COUNTIF(perfumes!$G$2:$I$100,"*"&amp;A8&amp;"*")</f>
        <v/>
      </c>
    </row>
    <row r="9">
      <c r="A9" s="5" t="inlineStr">
        <is>
          <t>Bamboo</t>
        </is>
      </c>
      <c r="B9" s="5" t="inlineStr">
        <is>
          <t>대나무</t>
        </is>
      </c>
      <c r="C9" s="5" t="inlineStr">
        <is>
          <t>맑고 푸릇한 대나무 잎 향</t>
        </is>
      </c>
      <c r="D9" s="5" t="inlineStr">
        <is>
          <t>green</t>
        </is>
      </c>
      <c r="E9" s="8">
        <f>COUNTIF(perfumes!$G$2:$I$100,"*"&amp;A9&amp;"*")</f>
        <v/>
      </c>
    </row>
    <row r="10">
      <c r="A10" s="5" t="inlineStr">
        <is>
          <t>Benzoin</t>
        </is>
      </c>
      <c r="B10" s="5" t="inlineStr">
        <is>
          <t>벤조인</t>
        </is>
      </c>
      <c r="C10" s="5" t="inlineStr">
        <is>
          <t>달콤하고 따뜻한 수지 향</t>
        </is>
      </c>
      <c r="D10" s="5" t="inlineStr">
        <is>
          <t>amber</t>
        </is>
      </c>
      <c r="E10" s="8">
        <f>COUNTIF(perfumes!$G$2:$I$100,"*"&amp;A10&amp;"*")</f>
        <v/>
      </c>
    </row>
    <row r="11">
      <c r="A11" s="5" t="inlineStr">
        <is>
          <t>Bergamot</t>
        </is>
      </c>
      <c r="B11" s="5" t="inlineStr">
        <is>
          <t>베르가못</t>
        </is>
      </c>
      <c r="C11" s="5" t="inlineStr">
        <is>
          <t>상큼하고 살짝 쌉쌀한 귤 껍질 향</t>
        </is>
      </c>
      <c r="D11" s="5" t="inlineStr">
        <is>
          <t>citrus</t>
        </is>
      </c>
      <c r="E11" s="8">
        <f>COUNTIF(perfumes!$G$2:$I$100,"*"&amp;A11&amp;"*")</f>
        <v/>
      </c>
    </row>
    <row r="12">
      <c r="A12" s="5" t="inlineStr">
        <is>
          <t>Blackberry</t>
        </is>
      </c>
      <c r="B12" s="5" t="inlineStr">
        <is>
          <t>블랙베리</t>
        </is>
      </c>
      <c r="C12" s="5" t="inlineStr">
        <is>
          <t>진하고 달콤새콤한 베리 향</t>
        </is>
      </c>
      <c r="D12" s="5" t="inlineStr">
        <is>
          <t>fruity</t>
        </is>
      </c>
      <c r="E12" s="8">
        <f>COUNTIF(perfumes!$G$2:$I$100,"*"&amp;A12&amp;"*")</f>
        <v/>
      </c>
    </row>
    <row r="13">
      <c r="A13" s="5" t="inlineStr">
        <is>
          <t>Blackcurrant</t>
        </is>
      </c>
      <c r="B13" s="5" t="inlineStr">
        <is>
          <t>블랙커런트</t>
        </is>
      </c>
      <c r="C13" s="5" t="inlineStr">
        <is>
          <t>새콤하고 진한 검은 베리 향</t>
        </is>
      </c>
      <c r="D13" s="5" t="inlineStr">
        <is>
          <t>fruity</t>
        </is>
      </c>
      <c r="E13" s="8">
        <f>COUNTIF(perfumes!$G$2:$I$100,"*"&amp;A13&amp;"*")</f>
        <v/>
      </c>
    </row>
    <row r="14">
      <c r="A14" s="5" t="inlineStr">
        <is>
          <t>Cacao</t>
        </is>
      </c>
      <c r="B14" s="5" t="inlineStr">
        <is>
          <t>카카오</t>
        </is>
      </c>
      <c r="C14" s="5" t="inlineStr">
        <is>
          <t>쌉쌀하고 고소한 코코아 향</t>
        </is>
      </c>
      <c r="D14" s="5" t="inlineStr">
        <is>
          <t>gourmand</t>
        </is>
      </c>
      <c r="E14" s="8">
        <f>COUNTIF(perfumes!$G$2:$I$100,"*"&amp;A14&amp;"*")</f>
        <v/>
      </c>
    </row>
    <row r="15">
      <c r="A15" s="5" t="inlineStr">
        <is>
          <t>Caramel</t>
        </is>
      </c>
      <c r="B15" s="5" t="inlineStr">
        <is>
          <t>카라멜</t>
        </is>
      </c>
      <c r="C15" s="5" t="inlineStr">
        <is>
          <t>달콤하고 끈적한 설탕 향</t>
        </is>
      </c>
      <c r="D15" s="5" t="inlineStr">
        <is>
          <t>gourmand</t>
        </is>
      </c>
      <c r="E15" s="8">
        <f>COUNTIF(perfumes!$G$2:$I$100,"*"&amp;A15&amp;"*")</f>
        <v/>
      </c>
    </row>
    <row r="16">
      <c r="A16" s="5" t="inlineStr">
        <is>
          <t>Cardamom</t>
        </is>
      </c>
      <c r="B16" s="5" t="inlineStr">
        <is>
          <t>카다멈</t>
        </is>
      </c>
      <c r="C16" s="5" t="inlineStr">
        <is>
          <t>따뜻하고 상쾌한 향신료 향</t>
        </is>
      </c>
      <c r="D16" s="5" t="inlineStr">
        <is>
          <t>spicy</t>
        </is>
      </c>
      <c r="E16" s="8">
        <f>COUNTIF(perfumes!$G$2:$I$100,"*"&amp;A16&amp;"*")</f>
        <v/>
      </c>
    </row>
    <row r="17">
      <c r="A17" s="5" t="inlineStr">
        <is>
          <t>Cashmeran</t>
        </is>
      </c>
      <c r="B17" s="5" t="inlineStr">
        <is>
          <t>캐시머란</t>
        </is>
      </c>
      <c r="C17" s="5" t="inlineStr">
        <is>
          <t>포근하고 약간 스모키한 나무 향</t>
        </is>
      </c>
      <c r="D17" s="5" t="inlineStr">
        <is>
          <t>woody</t>
        </is>
      </c>
      <c r="E17" s="8">
        <f>COUNTIF(perfumes!$G$2:$I$100,"*"&amp;A17&amp;"*")</f>
        <v/>
      </c>
    </row>
    <row r="18">
      <c r="A18" s="5" t="inlineStr">
        <is>
          <t>Cedar</t>
        </is>
      </c>
      <c r="B18" s="5" t="inlineStr">
        <is>
          <t>시더</t>
        </is>
      </c>
      <c r="C18" s="5" t="inlineStr">
        <is>
          <t>연필을 깎을 때 나는 깔끔한 나무 향</t>
        </is>
      </c>
      <c r="D18" s="5" t="inlineStr">
        <is>
          <t>woody</t>
        </is>
      </c>
      <c r="E18" s="8">
        <f>COUNTIF(perfumes!$G$2:$I$100,"*"&amp;A18&amp;"*")</f>
        <v/>
      </c>
    </row>
    <row r="19">
      <c r="A19" s="5" t="inlineStr">
        <is>
          <t>Chestnut</t>
        </is>
      </c>
      <c r="B19" s="5" t="inlineStr">
        <is>
          <t>밤</t>
        </is>
      </c>
      <c r="C19" s="5" t="inlineStr">
        <is>
          <t>고소하고 따뜻한 군밤 향</t>
        </is>
      </c>
      <c r="D19" s="5" t="inlineStr">
        <is>
          <t>gourmand</t>
        </is>
      </c>
      <c r="E19" s="8">
        <f>COUNTIF(perfumes!$G$2:$I$100,"*"&amp;A19&amp;"*")</f>
        <v/>
      </c>
    </row>
    <row r="20">
      <c r="A20" s="5" t="inlineStr">
        <is>
          <t>Chocolate</t>
        </is>
      </c>
      <c r="B20" s="5" t="inlineStr">
        <is>
          <t>초콜릿</t>
        </is>
      </c>
      <c r="C20" s="5" t="inlineStr">
        <is>
          <t>진하고 달콤한 쌉쌀한 초콜릿 향</t>
        </is>
      </c>
      <c r="D20" s="5" t="inlineStr">
        <is>
          <t>gourmand</t>
        </is>
      </c>
      <c r="E20" s="8">
        <f>COUNTIF(perfumes!$G$2:$I$100,"*"&amp;A20&amp;"*")</f>
        <v/>
      </c>
    </row>
    <row r="21">
      <c r="A21" s="5" t="inlineStr">
        <is>
          <t>Cinnamon</t>
        </is>
      </c>
      <c r="B21" s="5" t="inlineStr">
        <is>
          <t>시나몬</t>
        </is>
      </c>
      <c r="C21" s="5" t="inlineStr">
        <is>
          <t>달콤하고 따뜻한 계피 향</t>
        </is>
      </c>
      <c r="D21" s="5" t="inlineStr">
        <is>
          <t>spicy</t>
        </is>
      </c>
      <c r="E21" s="8">
        <f>COUNTIF(perfumes!$G$2:$I$100,"*"&amp;A21&amp;"*")</f>
        <v/>
      </c>
    </row>
    <row r="22">
      <c r="A22" s="5" t="inlineStr">
        <is>
          <t>Clary Sage</t>
        </is>
      </c>
      <c r="B22" s="5" t="inlineStr">
        <is>
          <t>클라리 세이지</t>
        </is>
      </c>
      <c r="C22" s="5" t="inlineStr">
        <is>
          <t>따뜻하고 달큰한 허브 향</t>
        </is>
      </c>
      <c r="D22" s="5" t="inlineStr">
        <is>
          <t>aromatic</t>
        </is>
      </c>
      <c r="E22" s="8">
        <f>COUNTIF(perfumes!$G$2:$I$100,"*"&amp;A22&amp;"*")</f>
        <v/>
      </c>
    </row>
    <row r="23">
      <c r="A23" s="5" t="inlineStr">
        <is>
          <t>Clove</t>
        </is>
      </c>
      <c r="B23" s="5" t="inlineStr">
        <is>
          <t>정향</t>
        </is>
      </c>
      <c r="C23" s="5" t="inlineStr">
        <is>
          <t>따뜻하고 알싸한 향신료 향</t>
        </is>
      </c>
      <c r="D23" s="5" t="inlineStr">
        <is>
          <t>spicy</t>
        </is>
      </c>
      <c r="E23" s="8">
        <f>COUNTIF(perfumes!$G$2:$I$100,"*"&amp;A23&amp;"*")</f>
        <v/>
      </c>
    </row>
    <row r="24">
      <c r="A24" s="5" t="inlineStr">
        <is>
          <t>Coconut</t>
        </is>
      </c>
      <c r="B24" s="5" t="inlineStr">
        <is>
          <t>코코넛</t>
        </is>
      </c>
      <c r="C24" s="5" t="inlineStr">
        <is>
          <t>고소하고 부드러운 코코넛 향</t>
        </is>
      </c>
      <c r="D24" s="5" t="inlineStr">
        <is>
          <t>gourmand</t>
        </is>
      </c>
      <c r="E24" s="8">
        <f>COUNTIF(perfumes!$G$2:$I$100,"*"&amp;A24&amp;"*")</f>
        <v/>
      </c>
    </row>
    <row r="25">
      <c r="A25" s="5" t="inlineStr">
        <is>
          <t>Coconut Milk</t>
        </is>
      </c>
      <c r="B25" s="5" t="inlineStr">
        <is>
          <t>코코넛 밀크</t>
        </is>
      </c>
      <c r="C25" s="5" t="inlineStr">
        <is>
          <t>고소하고 크리미한 코코넛 향</t>
        </is>
      </c>
      <c r="D25" s="5" t="inlineStr">
        <is>
          <t>gourmand</t>
        </is>
      </c>
      <c r="E25" s="8">
        <f>COUNTIF(perfumes!$G$2:$I$100,"*"&amp;A25&amp;"*")</f>
        <v/>
      </c>
    </row>
    <row r="26">
      <c r="A26" s="5" t="inlineStr">
        <is>
          <t>Coffee</t>
        </is>
      </c>
      <c r="B26" s="5" t="inlineStr">
        <is>
          <t>커피</t>
        </is>
      </c>
      <c r="C26" s="5" t="inlineStr">
        <is>
          <t>고소하고 쌉쌀한 커피콩 향</t>
        </is>
      </c>
      <c r="D26" s="5" t="inlineStr">
        <is>
          <t>gourmand</t>
        </is>
      </c>
      <c r="E26" s="8">
        <f>COUNTIF(perfumes!$G$2:$I$100,"*"&amp;A26&amp;"*")</f>
        <v/>
      </c>
    </row>
    <row r="27">
      <c r="A27" s="5" t="inlineStr">
        <is>
          <t>Cognac</t>
        </is>
      </c>
      <c r="B27" s="5" t="inlineStr">
        <is>
          <t>코냑</t>
        </is>
      </c>
      <c r="C27" s="5" t="inlineStr">
        <is>
          <t>달콤하고 알싸한 고급 술 향</t>
        </is>
      </c>
      <c r="D27" s="5" t="inlineStr">
        <is>
          <t>gourmand</t>
        </is>
      </c>
      <c r="E27" s="8">
        <f>COUNTIF(perfumes!$G$2:$I$100,"*"&amp;A27&amp;"*")</f>
        <v/>
      </c>
    </row>
    <row r="28">
      <c r="A28" s="5" t="inlineStr">
        <is>
          <t>Coriander</t>
        </is>
      </c>
      <c r="B28" s="5" t="inlineStr">
        <is>
          <t>고수씨</t>
        </is>
      </c>
      <c r="C28" s="5" t="inlineStr">
        <is>
          <t>상큼하고 살짝 매콤한 씨앗 향</t>
        </is>
      </c>
      <c r="D28" s="5" t="inlineStr">
        <is>
          <t>spicy</t>
        </is>
      </c>
      <c r="E28" s="8">
        <f>COUNTIF(perfumes!$G$2:$I$100,"*"&amp;A28&amp;"*")</f>
        <v/>
      </c>
    </row>
    <row r="29">
      <c r="A29" s="5" t="inlineStr">
        <is>
          <t>Cypress</t>
        </is>
      </c>
      <c r="B29" s="5" t="inlineStr">
        <is>
          <t>사이프러스</t>
        </is>
      </c>
      <c r="C29" s="5" t="inlineStr">
        <is>
          <t>차갑고 맑은 침엽수 향</t>
        </is>
      </c>
      <c r="D29" s="5" t="inlineStr">
        <is>
          <t>woody</t>
        </is>
      </c>
      <c r="E29" s="8">
        <f>COUNTIF(perfumes!$G$2:$I$100,"*"&amp;A29&amp;"*")</f>
        <v/>
      </c>
    </row>
    <row r="30">
      <c r="A30" s="5" t="inlineStr">
        <is>
          <t>Damask Rose</t>
        </is>
      </c>
      <c r="B30" s="5" t="inlineStr">
        <is>
          <t>다마스크 로즈</t>
        </is>
      </c>
      <c r="C30" s="5" t="inlineStr">
        <is>
          <t>진하고 우아한 장미 향</t>
        </is>
      </c>
      <c r="D30" s="5" t="inlineStr">
        <is>
          <t>floral</t>
        </is>
      </c>
      <c r="E30" s="8">
        <f>COUNTIF(perfumes!$G$2:$I$100,"*"&amp;A30&amp;"*")</f>
        <v/>
      </c>
    </row>
    <row r="31">
      <c r="A31" s="5" t="inlineStr">
        <is>
          <t>Dried Fruits</t>
        </is>
      </c>
      <c r="B31" s="5" t="inlineStr">
        <is>
          <t>말린 과일</t>
        </is>
      </c>
      <c r="C31" s="5" t="inlineStr">
        <is>
          <t>달콤하고 쫀득한 건과일 향</t>
        </is>
      </c>
      <c r="D31" s="5" t="inlineStr">
        <is>
          <t>gourmand</t>
        </is>
      </c>
      <c r="E31" s="8">
        <f>COUNTIF(perfumes!$G$2:$I$100,"*"&amp;A31&amp;"*")</f>
        <v/>
      </c>
    </row>
    <row r="32">
      <c r="A32" s="5" t="inlineStr">
        <is>
          <t>Fig</t>
        </is>
      </c>
      <c r="B32" s="5" t="inlineStr">
        <is>
          <t>무화과</t>
        </is>
      </c>
      <c r="C32" s="5" t="inlineStr">
        <is>
          <t>달콤하면서 풋풋한 열매 향</t>
        </is>
      </c>
      <c r="D32" s="5" t="inlineStr">
        <is>
          <t>green</t>
        </is>
      </c>
      <c r="E32" s="8">
        <f>COUNTIF(perfumes!$G$2:$I$100,"*"&amp;A32&amp;"*")</f>
        <v/>
      </c>
    </row>
    <row r="33">
      <c r="A33" s="5" t="inlineStr">
        <is>
          <t>Fig Leaf</t>
        </is>
      </c>
      <c r="B33" s="5" t="inlineStr">
        <is>
          <t>무화과잎</t>
        </is>
      </c>
      <c r="C33" s="5" t="inlineStr">
        <is>
          <t>푸릇하고 약간 우유 같은 풀 향</t>
        </is>
      </c>
      <c r="D33" s="5" t="inlineStr">
        <is>
          <t>green</t>
        </is>
      </c>
      <c r="E33" s="8">
        <f>COUNTIF(perfumes!$G$2:$I$100,"*"&amp;A33&amp;"*")</f>
        <v/>
      </c>
    </row>
    <row r="34">
      <c r="A34" s="5" t="inlineStr">
        <is>
          <t>Fir Resin</t>
        </is>
      </c>
      <c r="B34" s="5" t="inlineStr">
        <is>
          <t>전나무 수지</t>
        </is>
      </c>
      <c r="C34" s="5" t="inlineStr">
        <is>
          <t>끈적하고 상쾌한 소나무 진 향</t>
        </is>
      </c>
      <c r="D34" s="5" t="inlineStr">
        <is>
          <t>amber</t>
        </is>
      </c>
      <c r="E34" s="8">
        <f>COUNTIF(perfumes!$G$2:$I$100,"*"&amp;A34&amp;"*")</f>
        <v/>
      </c>
    </row>
    <row r="35">
      <c r="A35" s="5" t="inlineStr">
        <is>
          <t>Flint</t>
        </is>
      </c>
      <c r="B35" s="5" t="inlineStr">
        <is>
          <t>부싯돌</t>
        </is>
      </c>
      <c r="C35" s="5" t="inlineStr">
        <is>
          <t>돌을 부딪칠 때 나는 차갑고 건조한 광물 향</t>
        </is>
      </c>
      <c r="D35" s="5" t="inlineStr">
        <is>
          <t>aqua</t>
        </is>
      </c>
      <c r="E35" s="8">
        <f>COUNTIF(perfumes!$G$2:$I$100,"*"&amp;A35&amp;"*")</f>
        <v/>
      </c>
    </row>
    <row r="36">
      <c r="A36" s="5" t="inlineStr">
        <is>
          <t>Freesia</t>
        </is>
      </c>
      <c r="B36" s="5" t="inlineStr">
        <is>
          <t>프리지아</t>
        </is>
      </c>
      <c r="C36" s="5" t="inlineStr">
        <is>
          <t>가볍고 싱그러운 봄꽃 향</t>
        </is>
      </c>
      <c r="D36" s="5" t="inlineStr">
        <is>
          <t>floral</t>
        </is>
      </c>
      <c r="E36" s="8">
        <f>COUNTIF(perfumes!$G$2:$I$100,"*"&amp;A36&amp;"*")</f>
        <v/>
      </c>
    </row>
    <row r="37">
      <c r="A37" s="5" t="inlineStr">
        <is>
          <t>Galbanum</t>
        </is>
      </c>
      <c r="B37" s="5" t="inlineStr">
        <is>
          <t>갈바넘</t>
        </is>
      </c>
      <c r="C37" s="5" t="inlineStr">
        <is>
          <t>쌉쌀하고 날카로운 풀즙 향</t>
        </is>
      </c>
      <c r="D37" s="5" t="inlineStr">
        <is>
          <t>green</t>
        </is>
      </c>
      <c r="E37" s="8">
        <f>COUNTIF(perfumes!$G$2:$I$100,"*"&amp;A37&amp;"*")</f>
        <v/>
      </c>
    </row>
    <row r="38">
      <c r="A38" s="5" t="inlineStr">
        <is>
          <t>Geranium</t>
        </is>
      </c>
      <c r="B38" s="5" t="inlineStr">
        <is>
          <t>제라늄</t>
        </is>
      </c>
      <c r="C38" s="5" t="inlineStr">
        <is>
          <t>싱그럽고 살짝 매콤한 잎·꽃 향</t>
        </is>
      </c>
      <c r="D38" s="5" t="inlineStr">
        <is>
          <t>aromatic</t>
        </is>
      </c>
      <c r="E38" s="8">
        <f>COUNTIF(perfumes!$G$2:$I$100,"*"&amp;A38&amp;"*")</f>
        <v/>
      </c>
    </row>
    <row r="39">
      <c r="A39" s="5" t="inlineStr">
        <is>
          <t>Ginger</t>
        </is>
      </c>
      <c r="B39" s="5" t="inlineStr">
        <is>
          <t>생강</t>
        </is>
      </c>
      <c r="C39" s="5" t="inlineStr">
        <is>
          <t>톡 쏘면서 따뜻한 생강 향</t>
        </is>
      </c>
      <c r="D39" s="5" t="inlineStr">
        <is>
          <t>spicy</t>
        </is>
      </c>
      <c r="E39" s="8">
        <f>COUNTIF(perfumes!$G$2:$I$100,"*"&amp;A39&amp;"*")</f>
        <v/>
      </c>
    </row>
    <row r="40">
      <c r="A40" s="5" t="inlineStr">
        <is>
          <t>Grapefruit</t>
        </is>
      </c>
      <c r="B40" s="5" t="inlineStr">
        <is>
          <t>자몽</t>
        </is>
      </c>
      <c r="C40" s="5" t="inlineStr">
        <is>
          <t>새콤쌉쌀하고 시원한 자몽 향</t>
        </is>
      </c>
      <c r="D40" s="5" t="inlineStr">
        <is>
          <t>citrus</t>
        </is>
      </c>
      <c r="E40" s="8">
        <f>COUNTIF(perfumes!$G$2:$I$100,"*"&amp;A40&amp;"*")</f>
        <v/>
      </c>
    </row>
    <row r="41">
      <c r="A41" s="5" t="inlineStr">
        <is>
          <t>Green Mango</t>
        </is>
      </c>
      <c r="B41" s="5" t="inlineStr">
        <is>
          <t>청망고</t>
        </is>
      </c>
      <c r="C41" s="5" t="inlineStr">
        <is>
          <t>새콤하고 풋풋한 덜 익은 과일 향</t>
        </is>
      </c>
      <c r="D41" s="5" t="inlineStr">
        <is>
          <t>green</t>
        </is>
      </c>
      <c r="E41" s="8">
        <f>COUNTIF(perfumes!$G$2:$I$100,"*"&amp;A41&amp;"*")</f>
        <v/>
      </c>
    </row>
    <row r="42">
      <c r="A42" s="5" t="inlineStr">
        <is>
          <t>Green Tea</t>
        </is>
      </c>
      <c r="B42" s="5" t="inlineStr">
        <is>
          <t>녹차</t>
        </is>
      </c>
      <c r="C42" s="5" t="inlineStr">
        <is>
          <t>깔끔하고 은은한 찻잎 향</t>
        </is>
      </c>
      <c r="D42" s="5" t="inlineStr">
        <is>
          <t>green</t>
        </is>
      </c>
      <c r="E42" s="8">
        <f>COUNTIF(perfumes!$G$2:$I$100,"*"&amp;A42&amp;"*")</f>
        <v/>
      </c>
    </row>
    <row r="43">
      <c r="A43" s="5" t="inlineStr">
        <is>
          <t>Guaiac Wood</t>
        </is>
      </c>
      <c r="B43" s="5" t="inlineStr">
        <is>
          <t>과이악 우드</t>
        </is>
      </c>
      <c r="C43" s="5" t="inlineStr">
        <is>
          <t>훈제한 듯 스모키한 나무 향</t>
        </is>
      </c>
      <c r="D43" s="5" t="inlineStr">
        <is>
          <t>woody</t>
        </is>
      </c>
      <c r="E43" s="8">
        <f>COUNTIF(perfumes!$G$2:$I$100,"*"&amp;A43&amp;"*")</f>
        <v/>
      </c>
    </row>
    <row r="44">
      <c r="A44" s="5" t="inlineStr">
        <is>
          <t>Heliotrope</t>
        </is>
      </c>
      <c r="B44" s="5" t="inlineStr">
        <is>
          <t>헬리오트로프</t>
        </is>
      </c>
      <c r="C44" s="5" t="inlineStr">
        <is>
          <t>달콤한 아몬드 파우더 같은 향</t>
        </is>
      </c>
      <c r="D44" s="5" t="inlineStr">
        <is>
          <t>powdery</t>
        </is>
      </c>
      <c r="E44" s="8">
        <f>COUNTIF(perfumes!$G$2:$I$100,"*"&amp;A44&amp;"*")</f>
        <v/>
      </c>
    </row>
    <row r="45">
      <c r="A45" s="5" t="inlineStr">
        <is>
          <t>Honey</t>
        </is>
      </c>
      <c r="B45" s="5" t="inlineStr">
        <is>
          <t>꿀</t>
        </is>
      </c>
      <c r="C45" s="5" t="inlineStr">
        <is>
          <t>끈적하고 달콤한 벌꿀 향</t>
        </is>
      </c>
      <c r="D45" s="5" t="inlineStr">
        <is>
          <t>gourmand</t>
        </is>
      </c>
      <c r="E45" s="8">
        <f>COUNTIF(perfumes!$G$2:$I$100,"*"&amp;A45&amp;"*")</f>
        <v/>
      </c>
    </row>
    <row r="46">
      <c r="A46" s="5" t="inlineStr">
        <is>
          <t>Incense</t>
        </is>
      </c>
      <c r="B46" s="5" t="inlineStr">
        <is>
          <t>인센스</t>
        </is>
      </c>
      <c r="C46" s="5" t="inlineStr">
        <is>
          <t>사원에서 피우는 향처럼 은은한 연기 향</t>
        </is>
      </c>
      <c r="D46" s="5" t="inlineStr">
        <is>
          <t>leather</t>
        </is>
      </c>
      <c r="E46" s="8">
        <f>COUNTIF(perfumes!$G$2:$I$100,"*"&amp;A46&amp;"*")</f>
        <v/>
      </c>
    </row>
    <row r="47">
      <c r="A47" s="5" t="inlineStr">
        <is>
          <t>Iris</t>
        </is>
      </c>
      <c r="B47" s="5" t="inlineStr">
        <is>
          <t>아이리스</t>
        </is>
      </c>
      <c r="C47" s="5" t="inlineStr">
        <is>
          <t>보송한 분가루 같은 차분한 향</t>
        </is>
      </c>
      <c r="D47" s="5" t="inlineStr">
        <is>
          <t>powdery</t>
        </is>
      </c>
      <c r="E47" s="8">
        <f>COUNTIF(perfumes!$G$2:$I$100,"*"&amp;A47&amp;"*")</f>
        <v/>
      </c>
    </row>
    <row r="48">
      <c r="A48" s="5" t="inlineStr">
        <is>
          <t>Jasmine</t>
        </is>
      </c>
      <c r="B48" s="5" t="inlineStr">
        <is>
          <t>자스민</t>
        </is>
      </c>
      <c r="C48" s="5" t="inlineStr">
        <is>
          <t>달콤하고 진한 하얀 꽃 향</t>
        </is>
      </c>
      <c r="D48" s="5" t="inlineStr">
        <is>
          <t>whiteFloral</t>
        </is>
      </c>
      <c r="E48" s="8">
        <f>COUNTIF(perfumes!$G$2:$I$100,"*"&amp;A48&amp;"*")</f>
        <v/>
      </c>
    </row>
    <row r="49">
      <c r="A49" s="5" t="inlineStr">
        <is>
          <t>Juniper Berries</t>
        </is>
      </c>
      <c r="B49" s="5" t="inlineStr">
        <is>
          <t>주니퍼 베리</t>
        </is>
      </c>
      <c r="C49" s="5" t="inlineStr">
        <is>
          <t>상쾌하고 알싸한 진(gin) 같은 향</t>
        </is>
      </c>
      <c r="D49" s="5" t="inlineStr">
        <is>
          <t>aromatic</t>
        </is>
      </c>
      <c r="E49" s="8">
        <f>COUNTIF(perfumes!$G$2:$I$100,"*"&amp;A49&amp;"*")</f>
        <v/>
      </c>
    </row>
    <row r="50">
      <c r="A50" s="5" t="inlineStr">
        <is>
          <t>Labdanum</t>
        </is>
      </c>
      <c r="B50" s="5" t="inlineStr">
        <is>
          <t>라브다넘</t>
        </is>
      </c>
      <c r="C50" s="5" t="inlineStr">
        <is>
          <t>따뜻하고 달콤한 끈적한 수지 향</t>
        </is>
      </c>
      <c r="D50" s="5" t="inlineStr">
        <is>
          <t>amber</t>
        </is>
      </c>
      <c r="E50" s="8">
        <f>COUNTIF(perfumes!$G$2:$I$100,"*"&amp;A50&amp;"*")</f>
        <v/>
      </c>
    </row>
    <row r="51">
      <c r="A51" s="5" t="inlineStr">
        <is>
          <t>Lavender</t>
        </is>
      </c>
      <c r="B51" s="5" t="inlineStr">
        <is>
          <t>라벤더</t>
        </is>
      </c>
      <c r="C51" s="5" t="inlineStr">
        <is>
          <t>차분하고 깨끗한 보라색 허브 향</t>
        </is>
      </c>
      <c r="D51" s="5" t="inlineStr">
        <is>
          <t>aromatic</t>
        </is>
      </c>
      <c r="E51" s="8">
        <f>COUNTIF(perfumes!$G$2:$I$100,"*"&amp;A51&amp;"*")</f>
        <v/>
      </c>
    </row>
    <row r="52">
      <c r="A52" s="5" t="inlineStr">
        <is>
          <t>Leather</t>
        </is>
      </c>
      <c r="B52" s="5" t="inlineStr">
        <is>
          <t>가죽</t>
        </is>
      </c>
      <c r="C52" s="5" t="inlineStr">
        <is>
          <t>따뜻하고 고급스러운 가죽 향</t>
        </is>
      </c>
      <c r="D52" s="5" t="inlineStr">
        <is>
          <t>leather</t>
        </is>
      </c>
      <c r="E52" s="8">
        <f>COUNTIF(perfumes!$G$2:$I$100,"*"&amp;A52&amp;"*")</f>
        <v/>
      </c>
    </row>
    <row r="53">
      <c r="A53" s="5" t="inlineStr">
        <is>
          <t>Lemon</t>
        </is>
      </c>
      <c r="B53" s="5" t="inlineStr">
        <is>
          <t>레몬</t>
        </is>
      </c>
      <c r="C53" s="5" t="inlineStr">
        <is>
          <t>갓 짠 레몬즙처럼 톡 쏘는 상큼한 향</t>
        </is>
      </c>
      <c r="D53" s="5" t="inlineStr">
        <is>
          <t>citrus</t>
        </is>
      </c>
      <c r="E53" s="8">
        <f>COUNTIF(perfumes!$G$2:$I$100,"*"&amp;A53&amp;"*")</f>
        <v/>
      </c>
    </row>
    <row r="54">
      <c r="A54" s="5" t="inlineStr">
        <is>
          <t>Lily of the Valley</t>
        </is>
      </c>
      <c r="B54" s="5" t="inlineStr">
        <is>
          <t>은방울꽃</t>
        </is>
      </c>
      <c r="C54" s="5" t="inlineStr">
        <is>
          <t>맑고 청순한 작은 꽃 향</t>
        </is>
      </c>
      <c r="D54" s="5" t="inlineStr">
        <is>
          <t>floral</t>
        </is>
      </c>
      <c r="E54" s="8">
        <f>COUNTIF(perfumes!$G$2:$I$100,"*"&amp;A54&amp;"*")</f>
        <v/>
      </c>
    </row>
    <row r="55">
      <c r="A55" s="5" t="inlineStr">
        <is>
          <t>Lime</t>
        </is>
      </c>
      <c r="B55" s="5" t="inlineStr">
        <is>
          <t>라임</t>
        </is>
      </c>
      <c r="C55" s="5" t="inlineStr">
        <is>
          <t>톡 쏘고 청량한 라임 향</t>
        </is>
      </c>
      <c r="D55" s="5" t="inlineStr">
        <is>
          <t>citrus</t>
        </is>
      </c>
      <c r="E55" s="8">
        <f>COUNTIF(perfumes!$G$2:$I$100,"*"&amp;A55&amp;"*")</f>
        <v/>
      </c>
    </row>
    <row r="56">
      <c r="A56" s="5" t="inlineStr">
        <is>
          <t>Lotus</t>
        </is>
      </c>
      <c r="B56" s="5" t="inlineStr">
        <is>
          <t>연꽃</t>
        </is>
      </c>
      <c r="C56" s="5" t="inlineStr">
        <is>
          <t>맑고 촉촉한 물가의 꽃 향</t>
        </is>
      </c>
      <c r="D56" s="5" t="inlineStr">
        <is>
          <t>aqua</t>
        </is>
      </c>
      <c r="E56" s="8">
        <f>COUNTIF(perfumes!$G$2:$I$100,"*"&amp;A56&amp;"*")</f>
        <v/>
      </c>
    </row>
    <row r="57">
      <c r="A57" s="5" t="inlineStr">
        <is>
          <t>Lychee</t>
        </is>
      </c>
      <c r="B57" s="5" t="inlineStr">
        <is>
          <t>리치</t>
        </is>
      </c>
      <c r="C57" s="5" t="inlineStr">
        <is>
          <t>투명하고 달콤한 과즙 향</t>
        </is>
      </c>
      <c r="D57" s="5" t="inlineStr">
        <is>
          <t>fruity</t>
        </is>
      </c>
      <c r="E57" s="8">
        <f>COUNTIF(perfumes!$G$2:$I$100,"*"&amp;A57&amp;"*")</f>
        <v/>
      </c>
    </row>
    <row r="58">
      <c r="A58" s="5" t="inlineStr">
        <is>
          <t>Magnolia</t>
        </is>
      </c>
      <c r="B58" s="5" t="inlineStr">
        <is>
          <t>목련</t>
        </is>
      </c>
      <c r="C58" s="5" t="inlineStr">
        <is>
          <t>부드럽고 크리미한 하얀 꽃 향</t>
        </is>
      </c>
      <c r="D58" s="5" t="inlineStr">
        <is>
          <t>floral</t>
        </is>
      </c>
      <c r="E58" s="8">
        <f>COUNTIF(perfumes!$G$2:$I$100,"*"&amp;A58&amp;"*")</f>
        <v/>
      </c>
    </row>
    <row r="59">
      <c r="A59" s="5" t="inlineStr">
        <is>
          <t>Mandarin</t>
        </is>
      </c>
      <c r="B59" s="5" t="inlineStr">
        <is>
          <t>만다린</t>
        </is>
      </c>
      <c r="C59" s="5" t="inlineStr">
        <is>
          <t>말랑하고 달콤한 귤 향</t>
        </is>
      </c>
      <c r="D59" s="5" t="inlineStr">
        <is>
          <t>citrus</t>
        </is>
      </c>
      <c r="E59" s="8">
        <f>COUNTIF(perfumes!$G$2:$I$100,"*"&amp;A59&amp;"*")</f>
        <v/>
      </c>
    </row>
    <row r="60">
      <c r="A60" s="5" t="inlineStr">
        <is>
          <t>Mint</t>
        </is>
      </c>
      <c r="B60" s="5" t="inlineStr">
        <is>
          <t>민트</t>
        </is>
      </c>
      <c r="C60" s="5" t="inlineStr">
        <is>
          <t>입안이 시원해지는 박하 향</t>
        </is>
      </c>
      <c r="D60" s="5" t="inlineStr">
        <is>
          <t>aromatic</t>
        </is>
      </c>
      <c r="E60" s="8">
        <f>COUNTIF(perfumes!$G$2:$I$100,"*"&amp;A60&amp;"*")</f>
        <v/>
      </c>
    </row>
    <row r="61">
      <c r="A61" s="5" t="inlineStr">
        <is>
          <t>Musk</t>
        </is>
      </c>
      <c r="B61" s="5" t="inlineStr">
        <is>
          <t>머스크</t>
        </is>
      </c>
      <c r="C61" s="5" t="inlineStr">
        <is>
          <t>따뜻한 살결 같은 포근한 향</t>
        </is>
      </c>
      <c r="D61" s="5" t="inlineStr">
        <is>
          <t>musk</t>
        </is>
      </c>
      <c r="E61" s="8">
        <f>COUNTIF(perfumes!$G$2:$I$100,"*"&amp;A61&amp;"*")</f>
        <v/>
      </c>
    </row>
    <row r="62">
      <c r="A62" s="5" t="inlineStr">
        <is>
          <t>Neroli</t>
        </is>
      </c>
      <c r="B62" s="5" t="inlineStr">
        <is>
          <t>네롤리</t>
        </is>
      </c>
      <c r="C62" s="5" t="inlineStr">
        <is>
          <t>맑고 쌉쌀한 오렌지 꽃 향</t>
        </is>
      </c>
      <c r="D62" s="5" t="inlineStr">
        <is>
          <t>citrus</t>
        </is>
      </c>
      <c r="E62" s="8">
        <f>COUNTIF(perfumes!$G$2:$I$100,"*"&amp;A62&amp;"*")</f>
        <v/>
      </c>
    </row>
    <row r="63">
      <c r="A63" s="5" t="inlineStr">
        <is>
          <t>Nutmeg</t>
        </is>
      </c>
      <c r="B63" s="5" t="inlineStr">
        <is>
          <t>육두구</t>
        </is>
      </c>
      <c r="C63" s="5" t="inlineStr">
        <is>
          <t>따뜻하고 고소한 향신료 향</t>
        </is>
      </c>
      <c r="D63" s="5" t="inlineStr">
        <is>
          <t>spicy</t>
        </is>
      </c>
      <c r="E63" s="8">
        <f>COUNTIF(perfumes!$G$2:$I$100,"*"&amp;A63&amp;"*")</f>
        <v/>
      </c>
    </row>
    <row r="64">
      <c r="A64" s="5" t="inlineStr">
        <is>
          <t>Oak</t>
        </is>
      </c>
      <c r="B64" s="5" t="inlineStr">
        <is>
          <t>오크</t>
        </is>
      </c>
      <c r="C64" s="5" t="inlineStr">
        <is>
          <t>오크통 같은 고소하고 마른 나무 향</t>
        </is>
      </c>
      <c r="D64" s="5" t="inlineStr">
        <is>
          <t>woody</t>
        </is>
      </c>
      <c r="E64" s="8">
        <f>COUNTIF(perfumes!$G$2:$I$100,"*"&amp;A64&amp;"*")</f>
        <v/>
      </c>
    </row>
    <row r="65">
      <c r="A65" s="5" t="inlineStr">
        <is>
          <t>Oakmoss</t>
        </is>
      </c>
      <c r="B65" s="5" t="inlineStr">
        <is>
          <t>오크모스</t>
        </is>
      </c>
      <c r="C65" s="5" t="inlineStr">
        <is>
          <t>축축한 이끼와 숲 바닥 같은 향</t>
        </is>
      </c>
      <c r="D65" s="5" t="inlineStr">
        <is>
          <t>woody</t>
        </is>
      </c>
      <c r="E65" s="8">
        <f>COUNTIF(perfumes!$G$2:$I$100,"*"&amp;A65&amp;"*")</f>
        <v/>
      </c>
    </row>
    <row r="66">
      <c r="A66" s="5" t="inlineStr">
        <is>
          <t>Orange</t>
        </is>
      </c>
      <c r="B66" s="5" t="inlineStr">
        <is>
          <t>오렌지</t>
        </is>
      </c>
      <c r="C66" s="5" t="inlineStr">
        <is>
          <t>달콤하고 밝은 오렌지 껍질 향</t>
        </is>
      </c>
      <c r="D66" s="5" t="inlineStr">
        <is>
          <t>citrus</t>
        </is>
      </c>
      <c r="E66" s="8">
        <f>COUNTIF(perfumes!$G$2:$I$100,"*"&amp;A66&amp;"*")</f>
        <v/>
      </c>
    </row>
    <row r="67">
      <c r="A67" s="5" t="inlineStr">
        <is>
          <t>Orange Blossom</t>
        </is>
      </c>
      <c r="B67" s="5" t="inlineStr">
        <is>
          <t>오렌지 블러섬</t>
        </is>
      </c>
      <c r="C67" s="5" t="inlineStr">
        <is>
          <t>달콤하고 깨끗한 흰 꽃 향</t>
        </is>
      </c>
      <c r="D67" s="5" t="inlineStr">
        <is>
          <t>whiteFloral</t>
        </is>
      </c>
      <c r="E67" s="8">
        <f>COUNTIF(perfumes!$G$2:$I$100,"*"&amp;A67&amp;"*")</f>
        <v/>
      </c>
    </row>
    <row r="68">
      <c r="A68" s="5" t="inlineStr">
        <is>
          <t>Orchid</t>
        </is>
      </c>
      <c r="B68" s="5" t="inlineStr">
        <is>
          <t>난초</t>
        </is>
      </c>
      <c r="C68" s="5" t="inlineStr">
        <is>
          <t>달콤하고 부드러운 꽃 향</t>
        </is>
      </c>
      <c r="D68" s="5" t="inlineStr">
        <is>
          <t>floral</t>
        </is>
      </c>
      <c r="E68" s="8">
        <f>COUNTIF(perfumes!$G$2:$I$100,"*"&amp;A68&amp;"*")</f>
        <v/>
      </c>
    </row>
    <row r="69">
      <c r="A69" s="5" t="inlineStr">
        <is>
          <t>Osmanthus</t>
        </is>
      </c>
      <c r="B69" s="5" t="inlineStr">
        <is>
          <t>오스만투스</t>
        </is>
      </c>
      <c r="C69" s="5" t="inlineStr">
        <is>
          <t>살구처럼 달콤한 작은 꽃 향</t>
        </is>
      </c>
      <c r="D69" s="5" t="inlineStr">
        <is>
          <t>floral</t>
        </is>
      </c>
      <c r="E69" s="8">
        <f>COUNTIF(perfumes!$G$2:$I$100,"*"&amp;A69&amp;"*")</f>
        <v/>
      </c>
    </row>
    <row r="70">
      <c r="A70" s="5" t="inlineStr">
        <is>
          <t>Oud</t>
        </is>
      </c>
      <c r="B70" s="5" t="inlineStr">
        <is>
          <t>우드(오우드)</t>
        </is>
      </c>
      <c r="C70" s="5" t="inlineStr">
        <is>
          <t>진하고 약간 쌉쌀한 고급 침향 향</t>
        </is>
      </c>
      <c r="D70" s="5" t="inlineStr">
        <is>
          <t>woody</t>
        </is>
      </c>
      <c r="E70" s="8">
        <f>COUNTIF(perfumes!$G$2:$I$100,"*"&amp;A70&amp;"*")</f>
        <v/>
      </c>
    </row>
    <row r="71">
      <c r="A71" s="5" t="inlineStr">
        <is>
          <t>Papyrus</t>
        </is>
      </c>
      <c r="B71" s="5" t="inlineStr">
        <is>
          <t>파피루스</t>
        </is>
      </c>
      <c r="C71" s="5" t="inlineStr">
        <is>
          <t>마른 종이처럼 건조한 나무 향</t>
        </is>
      </c>
      <c r="D71" s="5" t="inlineStr">
        <is>
          <t>woody</t>
        </is>
      </c>
      <c r="E71" s="8">
        <f>COUNTIF(perfumes!$G$2:$I$100,"*"&amp;A71&amp;"*")</f>
        <v/>
      </c>
    </row>
    <row r="72">
      <c r="A72" s="5" t="inlineStr">
        <is>
          <t>Patchouli</t>
        </is>
      </c>
      <c r="B72" s="5" t="inlineStr">
        <is>
          <t>패출리</t>
        </is>
      </c>
      <c r="C72" s="5" t="inlineStr">
        <is>
          <t>흙냄새 나는 깊고 진한 풀 향</t>
        </is>
      </c>
      <c r="D72" s="5" t="inlineStr">
        <is>
          <t>woody</t>
        </is>
      </c>
      <c r="E72" s="8">
        <f>COUNTIF(perfumes!$G$2:$I$100,"*"&amp;A72&amp;"*")</f>
        <v/>
      </c>
    </row>
    <row r="73">
      <c r="A73" s="5" t="inlineStr">
        <is>
          <t>Pear</t>
        </is>
      </c>
      <c r="B73" s="5" t="inlineStr">
        <is>
          <t>배</t>
        </is>
      </c>
      <c r="C73" s="5" t="inlineStr">
        <is>
          <t>촉촉하고 달콤한 배 향</t>
        </is>
      </c>
      <c r="D73" s="5" t="inlineStr">
        <is>
          <t>fruity</t>
        </is>
      </c>
      <c r="E73" s="8">
        <f>COUNTIF(perfumes!$G$2:$I$100,"*"&amp;A73&amp;"*")</f>
        <v/>
      </c>
    </row>
    <row r="74">
      <c r="A74" s="5" t="inlineStr">
        <is>
          <t>Peony</t>
        </is>
      </c>
      <c r="B74" s="5" t="inlineStr">
        <is>
          <t>작약</t>
        </is>
      </c>
      <c r="C74" s="5" t="inlineStr">
        <is>
          <t>보드랍고 촉촉한 분홍 꽃 향</t>
        </is>
      </c>
      <c r="D74" s="5" t="inlineStr">
        <is>
          <t>floral</t>
        </is>
      </c>
      <c r="E74" s="8">
        <f>COUNTIF(perfumes!$G$2:$I$100,"*"&amp;A74&amp;"*")</f>
        <v/>
      </c>
    </row>
    <row r="75">
      <c r="A75" s="5" t="inlineStr">
        <is>
          <t>Pepper</t>
        </is>
      </c>
      <c r="B75" s="5" t="inlineStr">
        <is>
          <t>후추</t>
        </is>
      </c>
      <c r="C75" s="5" t="inlineStr">
        <is>
          <t>톡 쏘고 알싸한 후추 향</t>
        </is>
      </c>
      <c r="D75" s="5" t="inlineStr">
        <is>
          <t>spicy</t>
        </is>
      </c>
      <c r="E75" s="8">
        <f>COUNTIF(perfumes!$G$2:$I$100,"*"&amp;A75&amp;"*")</f>
        <v/>
      </c>
    </row>
    <row r="76">
      <c r="A76" s="5" t="inlineStr">
        <is>
          <t>Pine Needles</t>
        </is>
      </c>
      <c r="B76" s="5" t="inlineStr">
        <is>
          <t>소나무 잎</t>
        </is>
      </c>
      <c r="C76" s="5" t="inlineStr">
        <is>
          <t>숲속 공기 같은 상쾌한 솔잎 향</t>
        </is>
      </c>
      <c r="D76" s="5" t="inlineStr">
        <is>
          <t>woody</t>
        </is>
      </c>
      <c r="E76" s="8">
        <f>COUNTIF(perfumes!$G$2:$I$100,"*"&amp;A76&amp;"*")</f>
        <v/>
      </c>
    </row>
    <row r="77">
      <c r="A77" s="5" t="inlineStr">
        <is>
          <t>Pineapple</t>
        </is>
      </c>
      <c r="B77" s="5" t="inlineStr">
        <is>
          <t>파인애플</t>
        </is>
      </c>
      <c r="C77" s="5" t="inlineStr">
        <is>
          <t>톡 쏘는 달콤한 열대과일 향</t>
        </is>
      </c>
      <c r="D77" s="5" t="inlineStr">
        <is>
          <t>fruity</t>
        </is>
      </c>
      <c r="E77" s="8">
        <f>COUNTIF(perfumes!$G$2:$I$100,"*"&amp;A77&amp;"*")</f>
        <v/>
      </c>
    </row>
    <row r="78">
      <c r="A78" s="5" t="inlineStr">
        <is>
          <t>Pink Pepper</t>
        </is>
      </c>
      <c r="B78" s="5" t="inlineStr">
        <is>
          <t>핑크 페퍼</t>
        </is>
      </c>
      <c r="C78" s="5" t="inlineStr">
        <is>
          <t>톡 쏘고 가벼운 후추 향</t>
        </is>
      </c>
      <c r="D78" s="5" t="inlineStr">
        <is>
          <t>spicy</t>
        </is>
      </c>
      <c r="E78" s="8">
        <f>COUNTIF(perfumes!$G$2:$I$100,"*"&amp;A78&amp;"*")</f>
        <v/>
      </c>
    </row>
    <row r="79">
      <c r="A79" s="5" t="inlineStr">
        <is>
          <t>Praline</t>
        </is>
      </c>
      <c r="B79" s="5" t="inlineStr">
        <is>
          <t>프랄린</t>
        </is>
      </c>
      <c r="C79" s="5" t="inlineStr">
        <is>
          <t>고소하고 달콤한 견과 캐러멜 향</t>
        </is>
      </c>
      <c r="D79" s="5" t="inlineStr">
        <is>
          <t>gourmand</t>
        </is>
      </c>
      <c r="E79" s="8">
        <f>COUNTIF(perfumes!$G$2:$I$100,"*"&amp;A79&amp;"*")</f>
        <v/>
      </c>
    </row>
    <row r="80">
      <c r="A80" s="5" t="inlineStr">
        <is>
          <t>Quince</t>
        </is>
      </c>
      <c r="B80" s="5" t="inlineStr">
        <is>
          <t>마르멜로</t>
        </is>
      </c>
      <c r="C80" s="5" t="inlineStr">
        <is>
          <t>새콤달콤하고 은은한 노란 과일 향</t>
        </is>
      </c>
      <c r="D80" s="5" t="inlineStr">
        <is>
          <t>fruity</t>
        </is>
      </c>
      <c r="E80" s="8">
        <f>COUNTIF(perfumes!$G$2:$I$100,"*"&amp;A80&amp;"*")</f>
        <v/>
      </c>
    </row>
    <row r="81">
      <c r="A81" s="5" t="inlineStr">
        <is>
          <t>Rangoon Creeper</t>
        </is>
      </c>
      <c r="B81" s="5" t="inlineStr">
        <is>
          <t>랑군 크리퍼</t>
        </is>
      </c>
      <c r="C81" s="5" t="inlineStr">
        <is>
          <t>달콤하고 신선한 덩굴 꽃 향</t>
        </is>
      </c>
      <c r="D81" s="5" t="inlineStr">
        <is>
          <t>whiteFloral</t>
        </is>
      </c>
      <c r="E81" s="8">
        <f>COUNTIF(perfumes!$G$2:$I$100,"*"&amp;A81&amp;"*")</f>
        <v/>
      </c>
    </row>
    <row r="82">
      <c r="A82" s="5" t="inlineStr">
        <is>
          <t>Raspberry</t>
        </is>
      </c>
      <c r="B82" s="5" t="inlineStr">
        <is>
          <t>라즈베리</t>
        </is>
      </c>
      <c r="C82" s="5" t="inlineStr">
        <is>
          <t>새콤달콤한 붉은 베리 향</t>
        </is>
      </c>
      <c r="D82" s="5" t="inlineStr">
        <is>
          <t>fruity</t>
        </is>
      </c>
      <c r="E82" s="8">
        <f>COUNTIF(perfumes!$G$2:$I$100,"*"&amp;A82&amp;"*")</f>
        <v/>
      </c>
    </row>
    <row r="83">
      <c r="A83" s="5" t="inlineStr">
        <is>
          <t>Rose</t>
        </is>
      </c>
      <c r="B83" s="5" t="inlineStr">
        <is>
          <t>장미</t>
        </is>
      </c>
      <c r="C83" s="5" t="inlineStr">
        <is>
          <t>우아하고 부드러운 꽃잎 향</t>
        </is>
      </c>
      <c r="D83" s="5" t="inlineStr">
        <is>
          <t>floral</t>
        </is>
      </c>
      <c r="E83" s="8">
        <f>COUNTIF(perfumes!$G$2:$I$100,"*"&amp;A83&amp;"*")</f>
        <v/>
      </c>
    </row>
    <row r="84">
      <c r="A84" s="5" t="inlineStr">
        <is>
          <t>Rosemary</t>
        </is>
      </c>
      <c r="B84" s="5" t="inlineStr">
        <is>
          <t>로즈마리</t>
        </is>
      </c>
      <c r="C84" s="5" t="inlineStr">
        <is>
          <t>상쾌하고 약간 쌉쌀한 허브 향</t>
        </is>
      </c>
      <c r="D84" s="5" t="inlineStr">
        <is>
          <t>aromatic</t>
        </is>
      </c>
      <c r="E84" s="8">
        <f>COUNTIF(perfumes!$G$2:$I$100,"*"&amp;A84&amp;"*")</f>
        <v/>
      </c>
    </row>
    <row r="85">
      <c r="A85" s="5" t="inlineStr">
        <is>
          <t>Rosewood</t>
        </is>
      </c>
      <c r="B85" s="5" t="inlineStr">
        <is>
          <t>로즈우드</t>
        </is>
      </c>
      <c r="C85" s="5" t="inlineStr">
        <is>
          <t>장미를 닮은 부드러운 나무 향</t>
        </is>
      </c>
      <c r="D85" s="5" t="inlineStr">
        <is>
          <t>woody</t>
        </is>
      </c>
      <c r="E85" s="8">
        <f>COUNTIF(perfumes!$G$2:$I$100,"*"&amp;A85&amp;"*")</f>
        <v/>
      </c>
    </row>
    <row r="86">
      <c r="A86" s="5" t="inlineStr">
        <is>
          <t>Rum</t>
        </is>
      </c>
      <c r="B86" s="5" t="inlineStr">
        <is>
          <t>럼</t>
        </is>
      </c>
      <c r="C86" s="5" t="inlineStr">
        <is>
          <t>달콤하고 따뜻한 술 향</t>
        </is>
      </c>
      <c r="D86" s="5" t="inlineStr">
        <is>
          <t>gourmand</t>
        </is>
      </c>
      <c r="E86" s="8">
        <f>COUNTIF(perfumes!$G$2:$I$100,"*"&amp;A86&amp;"*")</f>
        <v/>
      </c>
    </row>
    <row r="87">
      <c r="A87" s="5" t="inlineStr">
        <is>
          <t>Saffron</t>
        </is>
      </c>
      <c r="B87" s="5" t="inlineStr">
        <is>
          <t>사프란</t>
        </is>
      </c>
      <c r="C87" s="5" t="inlineStr">
        <is>
          <t>따뜻하고 가죽 같은 고급 향신료 향</t>
        </is>
      </c>
      <c r="D87" s="5" t="inlineStr">
        <is>
          <t>spicy</t>
        </is>
      </c>
      <c r="E87" s="8">
        <f>COUNTIF(perfumes!$G$2:$I$100,"*"&amp;A87&amp;"*")</f>
        <v/>
      </c>
    </row>
    <row r="88">
      <c r="A88" s="5" t="inlineStr">
        <is>
          <t>Sage</t>
        </is>
      </c>
      <c r="B88" s="5" t="inlineStr">
        <is>
          <t>세이지</t>
        </is>
      </c>
      <c r="C88" s="5" t="inlineStr">
        <is>
          <t>마른 풀처럼 건조하고 쌉쌀한 허브 향</t>
        </is>
      </c>
      <c r="D88" s="5" t="inlineStr">
        <is>
          <t>aromatic</t>
        </is>
      </c>
      <c r="E88" s="8">
        <f>COUNTIF(perfumes!$G$2:$I$100,"*"&amp;A88&amp;"*")</f>
        <v/>
      </c>
    </row>
    <row r="89">
      <c r="A89" s="5" t="inlineStr">
        <is>
          <t>Sandalwood</t>
        </is>
      </c>
      <c r="B89" s="5" t="inlineStr">
        <is>
          <t>샌달우드</t>
        </is>
      </c>
      <c r="C89" s="5" t="inlineStr">
        <is>
          <t>부드럽고 크리미한 따뜻한 나무 향</t>
        </is>
      </c>
      <c r="D89" s="5" t="inlineStr">
        <is>
          <t>woody</t>
        </is>
      </c>
      <c r="E89" s="8">
        <f>COUNTIF(perfumes!$G$2:$I$100,"*"&amp;A89&amp;"*")</f>
        <v/>
      </c>
    </row>
    <row r="90">
      <c r="A90" s="5" t="inlineStr">
        <is>
          <t>Sea Notes</t>
        </is>
      </c>
      <c r="B90" s="5" t="inlineStr">
        <is>
          <t>바다 노트</t>
        </is>
      </c>
      <c r="C90" s="5" t="inlineStr">
        <is>
          <t>시원한 바닷바람 같은 물 향</t>
        </is>
      </c>
      <c r="D90" s="5" t="inlineStr">
        <is>
          <t>aqua</t>
        </is>
      </c>
      <c r="E90" s="8">
        <f>COUNTIF(perfumes!$G$2:$I$100,"*"&amp;A90&amp;"*")</f>
        <v/>
      </c>
    </row>
    <row r="91">
      <c r="A91" s="5" t="inlineStr">
        <is>
          <t>Sea Salt</t>
        </is>
      </c>
      <c r="B91" s="5" t="inlineStr">
        <is>
          <t>바다 소금</t>
        </is>
      </c>
      <c r="C91" s="5" t="inlineStr">
        <is>
          <t>짭짤하고 깨끗한 바다 향</t>
        </is>
      </c>
      <c r="D91" s="5" t="inlineStr">
        <is>
          <t>aqua</t>
        </is>
      </c>
      <c r="E91" s="8">
        <f>COUNTIF(perfumes!$G$2:$I$100,"*"&amp;A91&amp;"*")</f>
        <v/>
      </c>
    </row>
    <row r="92">
      <c r="A92" s="5" t="inlineStr">
        <is>
          <t>Spices</t>
        </is>
      </c>
      <c r="B92" s="5" t="inlineStr">
        <is>
          <t>향신료</t>
        </is>
      </c>
      <c r="C92" s="5" t="inlineStr">
        <is>
          <t>따뜻하고 알싸한 향신료 향</t>
        </is>
      </c>
      <c r="D92" s="5" t="inlineStr">
        <is>
          <t>spicy</t>
        </is>
      </c>
      <c r="E92" s="8">
        <f>COUNTIF(perfumes!$G$2:$I$100,"*"&amp;A92&amp;"*")</f>
        <v/>
      </c>
    </row>
    <row r="93">
      <c r="A93" s="5" t="inlineStr">
        <is>
          <t>Strawberry</t>
        </is>
      </c>
      <c r="B93" s="5" t="inlineStr">
        <is>
          <t>딸기</t>
        </is>
      </c>
      <c r="C93" s="5" t="inlineStr">
        <is>
          <t>달콤하고 상큼한 딸기 향</t>
        </is>
      </c>
      <c r="D93" s="5" t="inlineStr">
        <is>
          <t>fruity</t>
        </is>
      </c>
      <c r="E93" s="8">
        <f>COUNTIF(perfumes!$G$2:$I$100,"*"&amp;A93&amp;"*")</f>
        <v/>
      </c>
    </row>
    <row r="94">
      <c r="A94" s="5" t="inlineStr">
        <is>
          <t>Styrax</t>
        </is>
      </c>
      <c r="B94" s="5" t="inlineStr">
        <is>
          <t>스티락스</t>
        </is>
      </c>
      <c r="C94" s="5" t="inlineStr">
        <is>
          <t>따뜻하고 약간 연기 나는 수지 향</t>
        </is>
      </c>
      <c r="D94" s="5" t="inlineStr">
        <is>
          <t>amber</t>
        </is>
      </c>
      <c r="E94" s="8">
        <f>COUNTIF(perfumes!$G$2:$I$100,"*"&amp;A94&amp;"*")</f>
        <v/>
      </c>
    </row>
    <row r="95">
      <c r="A95" s="5" t="inlineStr">
        <is>
          <t>Suede</t>
        </is>
      </c>
      <c r="B95" s="5" t="inlineStr">
        <is>
          <t>스웨이드</t>
        </is>
      </c>
      <c r="C95" s="5" t="inlineStr">
        <is>
          <t>보들보들한 부드러운 가죽 향</t>
        </is>
      </c>
      <c r="D95" s="5" t="inlineStr">
        <is>
          <t>leather</t>
        </is>
      </c>
      <c r="E95" s="8">
        <f>COUNTIF(perfumes!$G$2:$I$100,"*"&amp;A95&amp;"*")</f>
        <v/>
      </c>
    </row>
    <row r="96">
      <c r="A96" s="5" t="inlineStr">
        <is>
          <t>Tea</t>
        </is>
      </c>
      <c r="B96" s="5" t="inlineStr">
        <is>
          <t>차</t>
        </is>
      </c>
      <c r="C96" s="5" t="inlineStr">
        <is>
          <t>따뜻하고 깔끔한 찻잎 향</t>
        </is>
      </c>
      <c r="D96" s="5" t="inlineStr">
        <is>
          <t>green</t>
        </is>
      </c>
      <c r="E96" s="8">
        <f>COUNTIF(perfumes!$G$2:$I$100,"*"&amp;A96&amp;"*")</f>
        <v/>
      </c>
    </row>
    <row r="97">
      <c r="A97" s="5" t="inlineStr">
        <is>
          <t>Tobacco Leaf</t>
        </is>
      </c>
      <c r="B97" s="5" t="inlineStr">
        <is>
          <t>담뱃잎</t>
        </is>
      </c>
      <c r="C97" s="5" t="inlineStr">
        <is>
          <t>따뜻하고 달콤하게 마른 잎 향</t>
        </is>
      </c>
      <c r="D97" s="5" t="inlineStr">
        <is>
          <t>leather</t>
        </is>
      </c>
      <c r="E97" s="8">
        <f>COUNTIF(perfumes!$G$2:$I$100,"*"&amp;A97&amp;"*")</f>
        <v/>
      </c>
    </row>
    <row r="98">
      <c r="A98" s="5" t="inlineStr">
        <is>
          <t>Tomato Leaf</t>
        </is>
      </c>
      <c r="B98" s="5" t="inlineStr">
        <is>
          <t>토마토잎</t>
        </is>
      </c>
      <c r="C98" s="5" t="inlineStr">
        <is>
          <t>줄기를 꺾을 때 나는 진한 풀 향</t>
        </is>
      </c>
      <c r="D98" s="5" t="inlineStr">
        <is>
          <t>green</t>
        </is>
      </c>
      <c r="E98" s="8">
        <f>COUNTIF(perfumes!$G$2:$I$100,"*"&amp;A98&amp;"*")</f>
        <v/>
      </c>
    </row>
    <row r="99">
      <c r="A99" s="5" t="inlineStr">
        <is>
          <t>Tonka Bean</t>
        </is>
      </c>
      <c r="B99" s="5" t="inlineStr">
        <is>
          <t>통카빈</t>
        </is>
      </c>
      <c r="C99" s="5" t="inlineStr">
        <is>
          <t>바닐라와 아몬드가 섞인 달콤한 향</t>
        </is>
      </c>
      <c r="D99" s="5" t="inlineStr">
        <is>
          <t>gourmand</t>
        </is>
      </c>
      <c r="E99" s="8">
        <f>COUNTIF(perfumes!$G$2:$I$100,"*"&amp;A99&amp;"*")</f>
        <v/>
      </c>
    </row>
    <row r="100">
      <c r="A100" s="5" t="inlineStr">
        <is>
          <t>Tuberose</t>
        </is>
      </c>
      <c r="B100" s="5" t="inlineStr">
        <is>
          <t>튜베로즈</t>
        </is>
      </c>
      <c r="C100" s="5" t="inlineStr">
        <is>
          <t>진하고 관능적인 하얀 꽃 향</t>
        </is>
      </c>
      <c r="D100" s="5" t="inlineStr">
        <is>
          <t>whiteFloral</t>
        </is>
      </c>
      <c r="E100" s="8">
        <f>COUNTIF(perfumes!$G$2:$I$100,"*"&amp;A100&amp;"*")</f>
        <v/>
      </c>
    </row>
    <row r="101">
      <c r="A101" s="5" t="inlineStr">
        <is>
          <t>Vanilla</t>
        </is>
      </c>
      <c r="B101" s="5" t="inlineStr">
        <is>
          <t>바닐라</t>
        </is>
      </c>
      <c r="C101" s="5" t="inlineStr">
        <is>
          <t>달콤하고 포근한 디저트 향</t>
        </is>
      </c>
      <c r="D101" s="5" t="inlineStr">
        <is>
          <t>gourmand</t>
        </is>
      </c>
      <c r="E101" s="8">
        <f>COUNTIF(perfumes!$G$2:$I$100,"*"&amp;A101&amp;"*")</f>
        <v/>
      </c>
    </row>
    <row r="102">
      <c r="A102" s="5" t="inlineStr">
        <is>
          <t>Vetiver</t>
        </is>
      </c>
      <c r="B102" s="5" t="inlineStr">
        <is>
          <t>베티버</t>
        </is>
      </c>
      <c r="C102" s="5" t="inlineStr">
        <is>
          <t>촉촉한 흙과 풀뿌리 같은 차분한 향</t>
        </is>
      </c>
      <c r="D102" s="5" t="inlineStr">
        <is>
          <t>woody</t>
        </is>
      </c>
      <c r="E102" s="8">
        <f>COUNTIF(perfumes!$G$2:$I$100,"*"&amp;A102&amp;"*")</f>
        <v/>
      </c>
    </row>
    <row r="103">
      <c r="A103" s="5" t="inlineStr">
        <is>
          <t>Violet</t>
        </is>
      </c>
      <c r="B103" s="5" t="inlineStr">
        <is>
          <t>바이올렛</t>
        </is>
      </c>
      <c r="C103" s="5" t="inlineStr">
        <is>
          <t>보송하고 은은한 보라색 꽃 향</t>
        </is>
      </c>
      <c r="D103" s="5" t="inlineStr">
        <is>
          <t>powdery</t>
        </is>
      </c>
      <c r="E103" s="8">
        <f>COUNTIF(perfumes!$G$2:$I$100,"*"&amp;A103&amp;"*")</f>
        <v/>
      </c>
    </row>
    <row r="104">
      <c r="A104" s="5" t="inlineStr">
        <is>
          <t>Violet Leaf</t>
        </is>
      </c>
      <c r="B104" s="5" t="inlineStr">
        <is>
          <t>바이올렛 잎</t>
        </is>
      </c>
      <c r="C104" s="5" t="inlineStr">
        <is>
          <t>촉촉하고 서늘한 초록 잎 향</t>
        </is>
      </c>
      <c r="D104" s="5" t="inlineStr">
        <is>
          <t>green</t>
        </is>
      </c>
      <c r="E104" s="8">
        <f>COUNTIF(perfumes!$G$2:$I$100,"*"&amp;A104&amp;"*")</f>
        <v/>
      </c>
    </row>
    <row r="105">
      <c r="A105" s="5" t="inlineStr">
        <is>
          <t>White Musk</t>
        </is>
      </c>
      <c r="B105" s="5" t="inlineStr">
        <is>
          <t>화이트 머스크</t>
        </is>
      </c>
      <c r="C105" s="5" t="inlineStr">
        <is>
          <t>갓 빤 하얀 빨래 같은 포근한 향</t>
        </is>
      </c>
      <c r="D105" s="5" t="inlineStr">
        <is>
          <t>musk</t>
        </is>
      </c>
      <c r="E105" s="8">
        <f>COUNTIF(perfumes!$G$2:$I$100,"*"&amp;A105&amp;"*")</f>
        <v/>
      </c>
    </row>
    <row r="106">
      <c r="A106" s="5" t="inlineStr">
        <is>
          <t>White Rose</t>
        </is>
      </c>
      <c r="B106" s="5" t="inlineStr">
        <is>
          <t>화이트 로즈</t>
        </is>
      </c>
      <c r="C106" s="5" t="inlineStr">
        <is>
          <t>맑고 깨끗한 하얀 장미 향</t>
        </is>
      </c>
      <c r="D106" s="5" t="inlineStr">
        <is>
          <t>floral</t>
        </is>
      </c>
      <c r="E106" s="8">
        <f>COUNTIF(perfumes!$G$2:$I$100,"*"&amp;A106&amp;"*")</f>
        <v/>
      </c>
    </row>
    <row r="107">
      <c r="A107" s="5" t="inlineStr">
        <is>
          <t>Woody Notes</t>
        </is>
      </c>
      <c r="B107" s="5" t="inlineStr">
        <is>
          <t>우디 노트</t>
        </is>
      </c>
      <c r="C107" s="5" t="inlineStr">
        <is>
          <t>마른 나무처럼 따뜻하고 부드러운 향</t>
        </is>
      </c>
      <c r="D107" s="5" t="inlineStr">
        <is>
          <t>woody</t>
        </is>
      </c>
      <c r="E107" s="8">
        <f>COUNTIF(perfumes!$G$2:$I$100,"*"&amp;A107&amp;"*")</f>
        <v/>
      </c>
    </row>
    <row r="108">
      <c r="A108" s="5" t="inlineStr">
        <is>
          <t>Ylang-Ylang</t>
        </is>
      </c>
      <c r="B108" s="5" t="inlineStr">
        <is>
          <t>일랑일랑</t>
        </is>
      </c>
      <c r="C108" s="5" t="inlineStr">
        <is>
          <t>달콤하고 크리미한 열대 꽃 향</t>
        </is>
      </c>
      <c r="D108" s="5" t="inlineStr">
        <is>
          <t>whiteFloral</t>
        </is>
      </c>
      <c r="E108" s="8">
        <f>COUNTIF(perfumes!$G$2:$I$100,"*"&amp;A108&amp;"*")</f>
        <v/>
      </c>
    </row>
    <row r="109">
      <c r="A109" s="5" t="inlineStr">
        <is>
          <t>Almond</t>
        </is>
      </c>
      <c r="B109" s="5" t="inlineStr">
        <is>
          <t>아몬드</t>
        </is>
      </c>
      <c r="C109" s="5" t="inlineStr">
        <is>
          <t>고소하고 달콤한 견과 향</t>
        </is>
      </c>
      <c r="D109" s="5" t="inlineStr">
        <is>
          <t>gourmand</t>
        </is>
      </c>
      <c r="E109" s="8">
        <f>COUNTIF(perfumes!$G$2:$I$100,"*"&amp;A109&amp;"*")</f>
        <v/>
      </c>
    </row>
    <row r="110">
      <c r="A110" s="5" t="inlineStr">
        <is>
          <t>Basil</t>
        </is>
      </c>
      <c r="B110" s="5" t="inlineStr">
        <is>
          <t>바질</t>
        </is>
      </c>
      <c r="C110" s="5" t="inlineStr">
        <is>
          <t>싱그럽고 살짝 매콤한 허브 향</t>
        </is>
      </c>
      <c r="D110" s="5" t="inlineStr">
        <is>
          <t>aromatic</t>
        </is>
      </c>
      <c r="E110" s="8">
        <f>COUNTIF(perfumes!$G$2:$I$100,"*"&amp;A110&amp;"*")</f>
        <v/>
      </c>
    </row>
    <row r="111">
      <c r="A111" s="5" t="inlineStr">
        <is>
          <t>Birch</t>
        </is>
      </c>
      <c r="B111" s="5" t="inlineStr">
        <is>
          <t>자작나무</t>
        </is>
      </c>
      <c r="C111" s="5" t="inlineStr">
        <is>
          <t>스모키하고 가죽 같은 마른 나무 향</t>
        </is>
      </c>
      <c r="D111" s="5" t="inlineStr">
        <is>
          <t>leather</t>
        </is>
      </c>
      <c r="E111" s="8">
        <f>COUNTIF(perfumes!$G$2:$I$100,"*"&amp;A111&amp;"*")</f>
        <v/>
      </c>
    </row>
    <row r="112">
      <c r="A112" s="5" t="inlineStr">
        <is>
          <t>Cetalox</t>
        </is>
      </c>
      <c r="B112" s="5" t="inlineStr">
        <is>
          <t>세탈록스</t>
        </is>
      </c>
      <c r="C112" s="5" t="inlineStr">
        <is>
          <t>깨끗하고 따뜻한 피부 같은 은은한 향</t>
        </is>
      </c>
      <c r="D112" s="5" t="inlineStr">
        <is>
          <t>musk</t>
        </is>
      </c>
      <c r="E112" s="8">
        <f>COUNTIF(perfumes!$G$2:$I$100,"*"&amp;A112&amp;"*")</f>
        <v/>
      </c>
    </row>
    <row r="113">
      <c r="A113" s="5" t="inlineStr">
        <is>
          <t>Cherry</t>
        </is>
      </c>
      <c r="B113" s="5" t="inlineStr">
        <is>
          <t>체리</t>
        </is>
      </c>
      <c r="C113" s="5" t="inlineStr">
        <is>
          <t>새콤달콤한 빨간 열매 향</t>
        </is>
      </c>
      <c r="D113" s="5" t="inlineStr">
        <is>
          <t>fruity</t>
        </is>
      </c>
      <c r="E113" s="8">
        <f>COUNTIF(perfumes!$G$2:$I$100,"*"&amp;A113&amp;"*")</f>
        <v/>
      </c>
    </row>
    <row r="114">
      <c r="A114" s="5" t="inlineStr">
        <is>
          <t>Cucumber</t>
        </is>
      </c>
      <c r="B114" s="5" t="inlineStr">
        <is>
          <t>오이</t>
        </is>
      </c>
      <c r="C114" s="5" t="inlineStr">
        <is>
          <t>시원하고 물기 많은 풀 향</t>
        </is>
      </c>
      <c r="D114" s="5" t="inlineStr">
        <is>
          <t>green</t>
        </is>
      </c>
      <c r="E114" s="8">
        <f>COUNTIF(perfumes!$G$2:$I$100,"*"&amp;A114&amp;"*")</f>
        <v/>
      </c>
    </row>
    <row r="115">
      <c r="A115" s="5" t="inlineStr">
        <is>
          <t>Cumin</t>
        </is>
      </c>
      <c r="B115" s="5" t="inlineStr">
        <is>
          <t>큐민</t>
        </is>
      </c>
      <c r="C115" s="5" t="inlineStr">
        <is>
          <t>따뜻하고 약간 땀 냄새 같은 진한 향신료 향</t>
        </is>
      </c>
      <c r="D115" s="5" t="inlineStr">
        <is>
          <t>spicy</t>
        </is>
      </c>
      <c r="E115" s="8">
        <f>COUNTIF(perfumes!$G$2:$I$100,"*"&amp;A115&amp;"*")</f>
        <v/>
      </c>
    </row>
    <row r="116">
      <c r="A116" s="5" t="inlineStr">
        <is>
          <t>Hinoki</t>
        </is>
      </c>
      <c r="B116" s="5" t="inlineStr">
        <is>
          <t>히노키</t>
        </is>
      </c>
      <c r="C116" s="5" t="inlineStr">
        <is>
          <t>편백나무 같은 맑고 따뜻한 나무 향</t>
        </is>
      </c>
      <c r="D116" s="5" t="inlineStr">
        <is>
          <t>woody</t>
        </is>
      </c>
      <c r="E116" s="8">
        <f>COUNTIF(perfumes!$G$2:$I$100,"*"&amp;A116&amp;"*")</f>
        <v/>
      </c>
    </row>
    <row r="117">
      <c r="A117" s="5" t="inlineStr">
        <is>
          <t>Iso E Super</t>
        </is>
      </c>
      <c r="B117" s="5" t="inlineStr">
        <is>
          <t>아이소 이 슈퍼</t>
        </is>
      </c>
      <c r="C117" s="5" t="inlineStr">
        <is>
          <t>맑고 부드러운 투명한 나무 향</t>
        </is>
      </c>
      <c r="D117" s="5" t="inlineStr">
        <is>
          <t>woody</t>
        </is>
      </c>
      <c r="E117" s="8">
        <f>COUNTIF(perfumes!$G$2:$I$100,"*"&amp;A117&amp;"*")</f>
        <v/>
      </c>
    </row>
    <row r="118">
      <c r="A118" s="5" t="inlineStr">
        <is>
          <t>Lilac</t>
        </is>
      </c>
      <c r="B118" s="5" t="inlineStr">
        <is>
          <t>라일락</t>
        </is>
      </c>
      <c r="C118" s="5" t="inlineStr">
        <is>
          <t>봄날 골목에 퍼지는 보랏빛 꽃 향</t>
        </is>
      </c>
      <c r="D118" s="5" t="inlineStr">
        <is>
          <t>floral</t>
        </is>
      </c>
      <c r="E118" s="8">
        <f>COUNTIF(perfumes!$G$2:$I$100,"*"&amp;A118&amp;"*")</f>
        <v/>
      </c>
    </row>
    <row r="119">
      <c r="A119" s="5" t="inlineStr">
        <is>
          <t>Marshmallow</t>
        </is>
      </c>
      <c r="B119" s="5" t="inlineStr">
        <is>
          <t>마시멜로</t>
        </is>
      </c>
      <c r="C119" s="5" t="inlineStr">
        <is>
          <t>폭신하고 달콤한 설탕 과자 향</t>
        </is>
      </c>
      <c r="D119" s="5" t="inlineStr">
        <is>
          <t>gourmand</t>
        </is>
      </c>
      <c r="E119" s="8">
        <f>COUNTIF(perfumes!$G$2:$I$100,"*"&amp;A119&amp;"*")</f>
        <v/>
      </c>
    </row>
    <row r="120">
      <c r="A120" s="5" t="inlineStr">
        <is>
          <t>Peach</t>
        </is>
      </c>
      <c r="B120" s="5" t="inlineStr">
        <is>
          <t>복숭아</t>
        </is>
      </c>
      <c r="C120" s="5" t="inlineStr">
        <is>
          <t>부드럽고 달콤한 복숭아 향</t>
        </is>
      </c>
      <c r="D120" s="5" t="inlineStr">
        <is>
          <t>fruity</t>
        </is>
      </c>
      <c r="E120" s="8">
        <f>COUNTIF(perfumes!$G$2:$I$100,"*"&amp;A120&amp;"*")</f>
        <v/>
      </c>
    </row>
    <row r="121">
      <c r="A121" s="5" t="inlineStr">
        <is>
          <t>Plum</t>
        </is>
      </c>
      <c r="B121" s="5" t="inlineStr">
        <is>
          <t>자두</t>
        </is>
      </c>
      <c r="C121" s="5" t="inlineStr">
        <is>
          <t>새콤하고 진한 과즙 향</t>
        </is>
      </c>
      <c r="D121" s="5" t="inlineStr">
        <is>
          <t>fruity</t>
        </is>
      </c>
      <c r="E121" s="8">
        <f>COUNTIF(perfumes!$G$2:$I$100,"*"&amp;A121&amp;"*")</f>
        <v/>
      </c>
    </row>
    <row r="122">
      <c r="A122" s="5" t="inlineStr">
        <is>
          <t>Rhubarb</t>
        </is>
      </c>
      <c r="B122" s="5" t="inlineStr">
        <is>
          <t>루바브</t>
        </is>
      </c>
      <c r="C122" s="5" t="inlineStr">
        <is>
          <t>새콤하고 풋풋한 줄기 과일 향</t>
        </is>
      </c>
      <c r="D122" s="5" t="inlineStr">
        <is>
          <t>fruity</t>
        </is>
      </c>
      <c r="E122" s="8">
        <f>COUNTIF(perfumes!$G$2:$I$100,"*"&amp;A122&amp;"*")</f>
        <v/>
      </c>
    </row>
    <row r="123">
      <c r="A123" s="5" t="inlineStr">
        <is>
          <t>Verbena</t>
        </is>
      </c>
      <c r="B123" s="5" t="inlineStr">
        <is>
          <t>버베나</t>
        </is>
      </c>
      <c r="C123" s="5" t="inlineStr">
        <is>
          <t>상쾌하고 은은한 레몬 풀 향</t>
        </is>
      </c>
      <c r="D123" s="5" t="inlineStr">
        <is>
          <t>citrus</t>
        </is>
      </c>
      <c r="E123" s="8">
        <f>COUNTIF(perfumes!$G$2:$I$100,"*"&amp;A123&amp;"*")</f>
        <v/>
      </c>
    </row>
    <row r="124">
      <c r="A124" s="5" t="inlineStr">
        <is>
          <t>Yuzu</t>
        </is>
      </c>
      <c r="B124" s="5" t="inlineStr">
        <is>
          <t>유자</t>
        </is>
      </c>
      <c r="C124" s="5" t="inlineStr">
        <is>
          <t>향긋하고 쌉쌀한 유자 껍질 향</t>
        </is>
      </c>
      <c r="D124" s="5" t="inlineStr">
        <is>
          <t>citrus</t>
        </is>
      </c>
      <c r="E124" s="8">
        <f>COUNTIF(perfumes!$G$2:$I$100,"*"&amp;A124&amp;"*")</f>
        <v/>
      </c>
    </row>
  </sheetData>
  <autoFilter ref="A1:E124"/>
  <dataValidations count="1">
    <dataValidation sqref="D2:D300" showDropDown="0" showInputMessage="0" showErrorMessage="0" allowBlank="1" type="list">
      <formula1>=options!$A$3:$A$16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26" customWidth="1" min="4" max="4"/>
    <col width="14" customWidth="1" min="5" max="5"/>
    <col width="3" customWidth="1" min="6" max="6"/>
    <col width="14" customWidth="1" min="7" max="7"/>
    <col width="12" customWidth="1" min="8" max="8"/>
    <col width="14" customWidth="1" min="9" max="9"/>
    <col width="3" customWidth="1" min="10" max="10"/>
    <col width="16" customWidth="1" min="11" max="11"/>
    <col width="16" customWidth="1" min="12" max="12"/>
  </cols>
  <sheetData>
    <row r="1">
      <c r="A1" s="1" t="inlineStr">
        <is>
          <t>향 계열 (family)</t>
        </is>
      </c>
      <c r="G1" s="1" t="inlineStr">
        <is>
          <t>분위기 칩 (moods)</t>
        </is>
      </c>
      <c r="I1" s="1" t="inlineStr">
        <is>
          <t>시트1 사용 수</t>
        </is>
      </c>
      <c r="K1" s="1" t="inlineStr">
        <is>
          <t>피하고 싶은 칩 (avoid_flags)</t>
        </is>
      </c>
    </row>
    <row r="2">
      <c r="A2" s="7" t="inlineStr">
        <is>
          <t>id</t>
        </is>
      </c>
      <c r="B2" s="7" t="inlineStr">
        <is>
          <t>이름</t>
        </is>
      </c>
      <c r="C2" s="7" t="inlineStr">
        <is>
          <t>시향 순서</t>
        </is>
      </c>
      <c r="D2" s="7" t="inlineStr">
        <is>
          <t>예시</t>
        </is>
      </c>
      <c r="E2" s="7" t="inlineStr">
        <is>
          <t>시트1 등록 수</t>
        </is>
      </c>
      <c r="G2" s="2" t="inlineStr">
        <is>
          <t>calm</t>
        </is>
      </c>
      <c r="H2" s="2" t="inlineStr">
        <is>
          <t>차분한</t>
        </is>
      </c>
      <c r="I2" s="2">
        <f>COUNTIF(perfumes!$M$2:$M$200,"*"&amp;G2&amp;"*")</f>
        <v/>
      </c>
      <c r="K2" s="2" t="inlineStr">
        <is>
          <t>tooSweet</t>
        </is>
      </c>
      <c r="L2" s="2" t="inlineStr">
        <is>
          <t>너무 단 향</t>
        </is>
      </c>
    </row>
    <row r="3">
      <c r="A3" s="8" t="inlineStr">
        <is>
          <t>citrus</t>
        </is>
      </c>
      <c r="B3" s="8" t="inlineStr">
        <is>
          <t>시트러스</t>
        </is>
      </c>
      <c r="C3" s="8" t="n">
        <v>1</v>
      </c>
      <c r="D3" s="8" t="inlineStr">
        <is>
          <t>레몬·베르가못·자몽</t>
        </is>
      </c>
      <c r="E3" s="8">
        <f>COUNTIF(perfumes!$K$2:$K$200,A3)</f>
        <v/>
      </c>
      <c r="G3" s="2" t="inlineStr">
        <is>
          <t>clean</t>
        </is>
      </c>
      <c r="H3" s="2" t="inlineStr">
        <is>
          <t>깨끗한</t>
        </is>
      </c>
      <c r="I3" s="2">
        <f>COUNTIF(perfumes!$M$2:$M$200,"*"&amp;G3&amp;"*")</f>
        <v/>
      </c>
      <c r="K3" s="2" t="inlineStr">
        <is>
          <t>tooStrong</t>
        </is>
      </c>
      <c r="L3" s="2" t="inlineStr">
        <is>
          <t>너무 진한 향</t>
        </is>
      </c>
    </row>
    <row r="4">
      <c r="A4" s="8" t="inlineStr">
        <is>
          <t>fruity</t>
        </is>
      </c>
      <c r="B4" s="8" t="inlineStr">
        <is>
          <t>프루티</t>
        </is>
      </c>
      <c r="C4" s="8" t="n">
        <v>2</v>
      </c>
      <c r="D4" s="8" t="inlineStr">
        <is>
          <t>복숭아·배·베리</t>
        </is>
      </c>
      <c r="E4" s="8">
        <f>COUNTIF(perfumes!$K$2:$K$200,A4)</f>
        <v/>
      </c>
      <c r="G4" s="2" t="inlineStr">
        <is>
          <t>cool</t>
        </is>
      </c>
      <c r="H4" s="2" t="inlineStr">
        <is>
          <t>시원한</t>
        </is>
      </c>
      <c r="I4" s="2">
        <f>COUNTIF(perfumes!$M$2:$M$200,"*"&amp;G4&amp;"*")</f>
        <v/>
      </c>
      <c r="K4" s="2" t="inlineStr">
        <is>
          <t>headache</t>
        </is>
      </c>
      <c r="L4" s="2" t="inlineStr">
        <is>
          <t>머리 아픈 향</t>
        </is>
      </c>
    </row>
    <row r="5">
      <c r="A5" s="8" t="inlineStr">
        <is>
          <t>aqua</t>
        </is>
      </c>
      <c r="B5" s="8" t="inlineStr">
        <is>
          <t>아쿠아·오존</t>
        </is>
      </c>
      <c r="C5" s="8" t="n">
        <v>3</v>
      </c>
      <c r="D5" s="8" t="inlineStr">
        <is>
          <t>바다·빗물·바람</t>
        </is>
      </c>
      <c r="E5" s="8">
        <f>COUNTIF(perfumes!$K$2:$K$200,A5)</f>
        <v/>
      </c>
      <c r="G5" s="2" t="inlineStr">
        <is>
          <t>cozy</t>
        </is>
      </c>
      <c r="H5" s="2" t="inlineStr">
        <is>
          <t>포근한</t>
        </is>
      </c>
      <c r="I5" s="2">
        <f>COUNTIF(perfumes!$M$2:$M$200,"*"&amp;G5&amp;"*")</f>
        <v/>
      </c>
      <c r="K5" s="2" t="inlineStr">
        <is>
          <t>heavyFloral</t>
        </is>
      </c>
      <c r="L5" s="2" t="inlineStr">
        <is>
          <t>꽃향이 강한 향</t>
        </is>
      </c>
    </row>
    <row r="6">
      <c r="A6" s="8" t="inlineStr">
        <is>
          <t>green</t>
        </is>
      </c>
      <c r="B6" s="8" t="inlineStr">
        <is>
          <t>그린</t>
        </is>
      </c>
      <c r="C6" s="8" t="n">
        <v>4</v>
      </c>
      <c r="D6" s="8" t="inlineStr">
        <is>
          <t>풀잎·녹차·무화과잎</t>
        </is>
      </c>
      <c r="E6" s="8">
        <f>COUNTIF(perfumes!$K$2:$K$200,A6)</f>
        <v/>
      </c>
      <c r="G6" s="2" t="inlineStr">
        <is>
          <t>fresh</t>
        </is>
      </c>
      <c r="H6" s="2" t="inlineStr">
        <is>
          <t>싱그러운</t>
        </is>
      </c>
      <c r="I6" s="2">
        <f>COUNTIF(perfumes!$M$2:$M$200,"*"&amp;G6&amp;"*")</f>
        <v/>
      </c>
      <c r="K6" s="2" t="inlineStr">
        <is>
          <t>smoky</t>
        </is>
      </c>
      <c r="L6" s="2" t="inlineStr">
        <is>
          <t>스모키한 향</t>
        </is>
      </c>
    </row>
    <row r="7">
      <c r="A7" s="8" t="inlineStr">
        <is>
          <t>aromatic</t>
        </is>
      </c>
      <c r="B7" s="8" t="inlineStr">
        <is>
          <t>아로마틱</t>
        </is>
      </c>
      <c r="C7" s="8" t="n">
        <v>5</v>
      </c>
      <c r="D7" s="8" t="inlineStr">
        <is>
          <t>라벤더·로즈마리·민트</t>
        </is>
      </c>
      <c r="E7" s="8">
        <f>COUNTIF(perfumes!$K$2:$K$200,A7)</f>
        <v/>
      </c>
      <c r="G7" s="2" t="inlineStr">
        <is>
          <t>zesty</t>
        </is>
      </c>
      <c r="H7" s="2" t="inlineStr">
        <is>
          <t>상큼한</t>
        </is>
      </c>
      <c r="I7" s="2">
        <f>COUNTIF(perfumes!$M$2:$M$200,"*"&amp;G7&amp;"*")</f>
        <v/>
      </c>
      <c r="K7" s="2" t="inlineStr">
        <is>
          <t>powdery</t>
        </is>
      </c>
      <c r="L7" s="2" t="inlineStr">
        <is>
          <t>화장품 파우더 향</t>
        </is>
      </c>
    </row>
    <row r="8">
      <c r="A8" s="8" t="inlineStr">
        <is>
          <t>floral</t>
        </is>
      </c>
      <c r="B8" s="8" t="inlineStr">
        <is>
          <t>플로럴</t>
        </is>
      </c>
      <c r="C8" s="8" t="n">
        <v>6</v>
      </c>
      <c r="D8" s="8" t="inlineStr">
        <is>
          <t>장미·작약·은방울꽃</t>
        </is>
      </c>
      <c r="E8" s="8">
        <f>COUNTIF(perfumes!$K$2:$K$200,A8)</f>
        <v/>
      </c>
      <c r="G8" s="2" t="inlineStr">
        <is>
          <t>warm</t>
        </is>
      </c>
      <c r="H8" s="2" t="inlineStr">
        <is>
          <t>따뜻한</t>
        </is>
      </c>
      <c r="I8" s="2">
        <f>COUNTIF(perfumes!$M$2:$M$200,"*"&amp;G8&amp;"*")</f>
        <v/>
      </c>
    </row>
    <row r="9">
      <c r="A9" s="8" t="inlineStr">
        <is>
          <t>whiteFloral</t>
        </is>
      </c>
      <c r="B9" s="8" t="inlineStr">
        <is>
          <t>화이트 플로럴</t>
        </is>
      </c>
      <c r="C9" s="8" t="n">
        <v>7</v>
      </c>
      <c r="D9" s="8" t="inlineStr">
        <is>
          <t>자스민·튜베로즈·오렌지꽃</t>
        </is>
      </c>
      <c r="E9" s="8">
        <f>COUNTIF(perfumes!$K$2:$K$200,A9)</f>
        <v/>
      </c>
      <c r="G9" s="2" t="inlineStr">
        <is>
          <t>sweet</t>
        </is>
      </c>
      <c r="H9" s="2" t="inlineStr">
        <is>
          <t>달콤한</t>
        </is>
      </c>
      <c r="I9" s="2">
        <f>COUNTIF(perfumes!$M$2:$M$200,"*"&amp;G9&amp;"*")</f>
        <v/>
      </c>
    </row>
    <row r="10">
      <c r="A10" s="8" t="inlineStr">
        <is>
          <t>powdery</t>
        </is>
      </c>
      <c r="B10" s="8" t="inlineStr">
        <is>
          <t>파우더리</t>
        </is>
      </c>
      <c r="C10" s="8" t="n">
        <v>8</v>
      </c>
      <c r="D10" s="8" t="inlineStr">
        <is>
          <t>아이리스·바이올렛</t>
        </is>
      </c>
      <c r="E10" s="8">
        <f>COUNTIF(perfumes!$K$2:$K$200,A10)</f>
        <v/>
      </c>
      <c r="G10" s="2" t="inlineStr">
        <is>
          <t>elegant</t>
        </is>
      </c>
      <c r="H10" s="2" t="inlineStr">
        <is>
          <t>우아한</t>
        </is>
      </c>
      <c r="I10" s="2">
        <f>COUNTIF(perfumes!$M$2:$M$200,"*"&amp;G10&amp;"*")</f>
        <v/>
      </c>
      <c r="K10" s="1" t="inlineStr">
        <is>
          <t>intensity</t>
        </is>
      </c>
    </row>
    <row r="11">
      <c r="A11" s="8" t="inlineStr">
        <is>
          <t>musk</t>
        </is>
      </c>
      <c r="B11" s="8" t="inlineStr">
        <is>
          <t>머스크·클린</t>
        </is>
      </c>
      <c r="C11" s="8" t="n">
        <v>9</v>
      </c>
      <c r="D11" s="8" t="inlineStr">
        <is>
          <t>비누·갓 빤 빨래·살결</t>
        </is>
      </c>
      <c r="E11" s="8">
        <f>COUNTIF(perfumes!$K$2:$K$200,A11)</f>
        <v/>
      </c>
      <c r="G11" s="2" t="inlineStr">
        <is>
          <t>deep</t>
        </is>
      </c>
      <c r="H11" s="2" t="inlineStr">
        <is>
          <t>묵직한</t>
        </is>
      </c>
      <c r="I11" s="2">
        <f>COUNTIF(perfumes!$M$2:$M$200,"*"&amp;G11&amp;"*")</f>
        <v/>
      </c>
      <c r="K11" s="2" t="inlineStr">
        <is>
          <t>light</t>
        </is>
      </c>
      <c r="L11" s="2" t="inlineStr">
        <is>
          <t>가벼움</t>
        </is>
      </c>
    </row>
    <row r="12">
      <c r="A12" s="8" t="inlineStr">
        <is>
          <t>spicy</t>
        </is>
      </c>
      <c r="B12" s="8" t="inlineStr">
        <is>
          <t>스파이시</t>
        </is>
      </c>
      <c r="C12" s="8" t="n">
        <v>10</v>
      </c>
      <c r="D12" s="8" t="inlineStr">
        <is>
          <t>핑크페퍼·카다멈·시나몬</t>
        </is>
      </c>
      <c r="E12" s="8">
        <f>COUNTIF(perfumes!$K$2:$K$200,A12)</f>
        <v/>
      </c>
      <c r="G12" s="2" t="inlineStr">
        <is>
          <t>soft</t>
        </is>
      </c>
      <c r="H12" s="2" t="inlineStr">
        <is>
          <t>보송한</t>
        </is>
      </c>
      <c r="I12" s="2">
        <f>COUNTIF(perfumes!$M$2:$M$200,"*"&amp;G12&amp;"*")</f>
        <v/>
      </c>
      <c r="K12" s="2" t="inlineStr">
        <is>
          <t>medium</t>
        </is>
      </c>
      <c r="L12" s="2" t="inlineStr">
        <is>
          <t>보통</t>
        </is>
      </c>
    </row>
    <row r="13">
      <c r="A13" s="8" t="inlineStr">
        <is>
          <t>woody</t>
        </is>
      </c>
      <c r="B13" s="8" t="inlineStr">
        <is>
          <t>우디</t>
        </is>
      </c>
      <c r="C13" s="8" t="n">
        <v>11</v>
      </c>
      <c r="D13" s="8" t="inlineStr">
        <is>
          <t>시더·샌달우드·베티버</t>
        </is>
      </c>
      <c r="E13" s="8">
        <f>COUNTIF(perfumes!$K$2:$K$200,A13)</f>
        <v/>
      </c>
      <c r="G13" s="2" t="inlineStr">
        <is>
          <t>lovely</t>
        </is>
      </c>
      <c r="H13" s="2" t="inlineStr">
        <is>
          <t>사랑스러운</t>
        </is>
      </c>
      <c r="I13" s="2">
        <f>COUNTIF(perfumes!$M$2:$M$200,"*"&amp;G13&amp;"*")</f>
        <v/>
      </c>
      <c r="K13" s="2" t="inlineStr">
        <is>
          <t>strong</t>
        </is>
      </c>
      <c r="L13" s="2" t="inlineStr">
        <is>
          <t>진함</t>
        </is>
      </c>
    </row>
    <row r="14">
      <c r="A14" s="8" t="inlineStr">
        <is>
          <t>amber</t>
        </is>
      </c>
      <c r="B14" s="8" t="inlineStr">
        <is>
          <t>앰버</t>
        </is>
      </c>
      <c r="C14" s="8" t="n">
        <v>12</v>
      </c>
      <c r="D14" s="8" t="inlineStr">
        <is>
          <t>앰버·레진</t>
        </is>
      </c>
      <c r="E14" s="8">
        <f>COUNTIF(perfumes!$K$2:$K$200,A14)</f>
        <v/>
      </c>
      <c r="G14" s="2" t="inlineStr">
        <is>
          <t>sensual</t>
        </is>
      </c>
      <c r="H14" s="2" t="inlineStr">
        <is>
          <t>매혹적인</t>
        </is>
      </c>
      <c r="I14" s="2">
        <f>COUNTIF(perfumes!$M$2:$M$200,"*"&amp;G14&amp;"*")</f>
        <v/>
      </c>
    </row>
    <row r="15">
      <c r="A15" s="8" t="inlineStr">
        <is>
          <t>gourmand</t>
        </is>
      </c>
      <c r="B15" s="8" t="inlineStr">
        <is>
          <t>구르망</t>
        </is>
      </c>
      <c r="C15" s="8" t="n">
        <v>13</v>
      </c>
      <c r="D15" s="8" t="inlineStr">
        <is>
          <t>바닐라·카라멜·꿀</t>
        </is>
      </c>
      <c r="E15" s="8">
        <f>COUNTIF(perfumes!$K$2:$K$200,A15)</f>
        <v/>
      </c>
      <c r="K15" s="1" t="inlineStr">
        <is>
          <t>polarizing</t>
        </is>
      </c>
    </row>
    <row r="16">
      <c r="A16" s="8" t="inlineStr">
        <is>
          <t>leather</t>
        </is>
      </c>
      <c r="B16" s="8" t="inlineStr">
        <is>
          <t>레더·스모키</t>
        </is>
      </c>
      <c r="C16" s="8" t="n">
        <v>14</v>
      </c>
      <c r="D16" s="8" t="inlineStr">
        <is>
          <t>가죽·타바코·인센스</t>
        </is>
      </c>
      <c r="E16" s="8">
        <f>COUNTIF(perfumes!$K$2:$K$200,A16)</f>
        <v/>
      </c>
      <c r="K16" s="2" t="inlineStr">
        <is>
          <t>low</t>
        </is>
      </c>
      <c r="L16" s="2" t="inlineStr">
        <is>
          <t>호불호 적음</t>
        </is>
      </c>
    </row>
    <row r="17">
      <c r="A17" s="9" t="inlineStr">
        <is>
          <t>합계</t>
        </is>
      </c>
      <c r="E17" s="9">
        <f>SUM(E3:E16)</f>
        <v/>
      </c>
      <c r="K17" s="2" t="inlineStr">
        <is>
          <t>mid</t>
        </is>
      </c>
      <c r="L17" s="2" t="inlineStr">
        <is>
          <t>보통</t>
        </is>
      </c>
    </row>
    <row r="18">
      <c r="K18" s="2" t="inlineStr">
        <is>
          <t>high</t>
        </is>
      </c>
      <c r="L18" s="2" t="inlineStr">
        <is>
          <t>호불호 있음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2026-10-07T06:37:01Z</dcterms:created>
  <dcterms:modified xsi:type="dcterms:W3CDTF">2026-10-07T07:55:12Z</dcterms:modified>
</cp:coreProperties>
</file>