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erfumes" sheetId="2" state="visible" r:id="rId2"/>
    <sheet name="notes" sheetId="3" state="visible" r:id="rId3"/>
    <sheet name="options" sheetId="4" state="visible" r:id="rId4"/>
    <sheet name="channels" sheetId="5" state="visible" r:id="rId5"/>
  </sheets>
  <definedNames>
    <definedName name="_xlnm._FilterDatabase" localSheetId="1" hidden="1">'perfumes'!$A$1:$AE$213</definedName>
    <definedName name="_xlnm._FilterDatabase" localSheetId="2" hidden="1">'notes'!$A$1:$E$126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31F3A"/>
      </patternFill>
    </fill>
    <fill>
      <patternFill patternType="solid">
        <fgColor rgb="00F0EDF2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E3DFE6"/>
      </left>
      <right style="thin">
        <color rgb="00E3DFE6"/>
      </right>
      <top style="thin">
        <color rgb="00E3DFE6"/>
      </top>
      <bottom style="thin">
        <color rgb="00E3DF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4" fillId="0" borderId="0" pivotButton="0" quotePrefix="0" xfId="0"/>
    <xf numFmtId="3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시향노트 향수 데이터 시트 (AI 초안)</t>
        </is>
      </c>
    </row>
    <row r="2">
      <c r="A2" s="2" t="inlineStr"/>
    </row>
    <row r="3">
      <c r="A3" s="1" t="inlineStr">
        <is>
          <t>■ 이 파일의 상태</t>
        </is>
      </c>
    </row>
    <row r="4">
      <c r="A4" s="2" t="inlineStr">
        <is>
          <t>- 향수 50개의 브랜드·이름·노트·분류·한국어 문구를 AI가 초안으로 채웠습니다. 노트와 농도는 AI의 기억에 의존한 값이라 틀릴 수 있습니다.</t>
        </is>
      </c>
    </row>
    <row r="5">
      <c r="A5" s="2" t="inlineStr">
        <is>
          <t>- 모든 행의 data_status는 'AI 초안 (공식 확인 전)'입니다. 공식 출처에서 확인한 뒤 '확인 완료'로 바꾸세요. 확인 전 값은 perfumes.json으로 옮기지 않습니다 (CLAUDE.md 규칙 1번).</t>
        </is>
      </c>
    </row>
    <row r="6">
      <c r="A6" s="2" t="inlineStr"/>
    </row>
    <row r="7">
      <c r="A7" s="1" t="inlineStr">
        <is>
          <t>■ 색 구분</t>
        </is>
      </c>
    </row>
    <row r="8">
      <c r="A8" s="2" t="inlineStr">
        <is>
          <t>- 회색 칸: AI 초안 (확인하고 틀리면 고치세요)</t>
        </is>
      </c>
    </row>
    <row r="9">
      <c r="A9" s="2" t="inlineStr">
        <is>
          <t>- 노란 칸: 사람이 직접 채울 칸 (노트 출처 URL, 국내 정가, 확인일, 가격 출처, 이미지, 시향 가능 채널)</t>
        </is>
      </c>
    </row>
    <row r="10">
      <c r="A10" s="2" t="inlineStr"/>
    </row>
    <row r="11">
      <c r="A11" s="1" t="inlineStr">
        <is>
          <t>■ 해야 할 일 (향수마다)</t>
        </is>
      </c>
    </row>
    <row r="12">
      <c r="A12" s="2" t="inlineStr">
        <is>
          <t>1. notes_source_url에 공식 상품 페이지를 적고 top/middle/base 노트를 대조해 틀린 부분을 고친다</t>
        </is>
      </c>
    </row>
    <row r="13">
      <c r="A13" s="2" t="inlineStr">
        <is>
          <t>2. concentration(EDT/EDP 등)이 맞는지 확인한다. 모르면 비운다</t>
        </is>
      </c>
    </row>
    <row r="14">
      <c r="A14" s="2" t="inlineStr">
        <is>
          <t>3. kr_ml / kr_krw / kr_checked_at / kr_source_url에 국내 공식몰 정가를 적는다. 없으면 비워 둔다 (화면에 [확인 필요]로 표시됨)</t>
        </is>
      </c>
    </row>
    <row r="15">
      <c r="A15" s="2" t="inlineStr">
        <is>
          <t>4. 이미지를 public/perfumes/에 저장하고 image_file, image_source_url을 적는다</t>
        </is>
      </c>
    </row>
    <row r="16">
      <c r="A16" s="2" t="inlineStr">
        <is>
          <t>5. channels에 시향 가능한 곳(백화점·브랜드 매장·올리브영 등)을 적는다</t>
        </is>
      </c>
    </row>
    <row r="17">
      <c r="A17" s="2" t="inlineStr">
        <is>
          <t>6. 확인이 끝나면 data_status를 '확인 완료'로 바꾸고 todo를 비운다</t>
        </is>
      </c>
    </row>
    <row r="18">
      <c r="A18" s="2" t="inlineStr"/>
    </row>
    <row r="19">
      <c r="A19" s="1" t="inlineStr">
        <is>
          <t>■ 시트 설명</t>
        </is>
      </c>
    </row>
    <row r="20">
      <c r="A20" s="2" t="inlineStr">
        <is>
          <t>- perfumes: 향수 1개 = 1행. family / intensity / polarizing은 드롭다운으로 고른다</t>
        </is>
      </c>
    </row>
    <row r="21">
      <c r="A21" s="2" t="inlineStr">
        <is>
          <t>- notes: 노트 사전. 성분 1개 = 1행 (ingredient_en은 perfumes의 노트 표기와 똑같아야 함). used_in은 시트1에서 몇 번 쓰였는지 자동 계산 (이름이 겹치면 실제보다 크게 나올 수 있음)</t>
        </is>
      </c>
    </row>
    <row r="22">
      <c r="A22" s="2" t="inlineStr">
        <is>
          <t>- options: 선택 값 목록. 계열별 등록 수와 분위기 칩 사용 수는 자동 계산이라, 비는 계열·칩이 있는지 점검할 때 보세요</t>
        </is>
      </c>
    </row>
    <row r="23">
      <c r="A23" s="2" t="inlineStr"/>
    </row>
    <row r="24">
      <c r="A24" s="1" t="inlineStr">
        <is>
          <t>■ 분류·문구 안내</t>
        </is>
      </c>
    </row>
    <row r="25">
      <c r="A25" s="2" t="inlineStr">
        <is>
          <t>- family, sub_families, moods, avoid_flags, intensity, polarizing은 AI의 판단입니다. 정답이 없으니 실제로 맡아본 느낌이나 취향에 맞게 바꿔도 됩니다</t>
        </is>
      </c>
    </row>
    <row r="26">
      <c r="A26" s="2" t="inlineStr">
        <is>
          <t>- summary, drydown, check_point, feel은 새로 쓴 문장입니다. 외부 리뷰를 복사한 것이 아닙니다</t>
        </is>
      </c>
    </row>
    <row r="27">
      <c r="A27" s="2" t="inlineStr">
        <is>
          <t>- 국내 정가·이미지·시향 채널은 일부러 비워 두었습니다 (지어내지 않기 위해)</t>
        </is>
      </c>
    </row>
    <row r="29">
      <c r="A29" s="1" t="inlineStr">
        <is>
          <t>■ 추가 작업 기록</t>
        </is>
      </c>
    </row>
    <row r="30">
      <c r="A30" s="2" t="inlineStr">
        <is>
          <t>- 니치 브랜드 향수 49개를 이어서 추가했습니다 (총 99개). 같은 방식의 AI 초안이며 공식 확인 전입니다.</t>
        </is>
      </c>
    </row>
    <row r="31">
      <c r="A31" s="2" t="inlineStr">
        <is>
          <t>- 몰큘 01·02, 낫 어 퍼퓸은 단일 성분 향수라 노트가 탑 한 칸뿐입니다.</t>
        </is>
      </c>
    </row>
    <row r="33">
      <c r="A33" s="1" t="inlineStr">
        <is>
          <t>■ 분위기 칩 추가 (D-26)</t>
        </is>
      </c>
    </row>
    <row r="34">
      <c r="A34" s="2" t="inlineStr">
        <is>
          <t>- 새 분위기 칩 '사랑스러운(lovely)', '매혹적인(sensual)'을 추가하고, 어울리는 향수 40개의 moods에 붙였습니다 (AI 판단이므로 맡아본 느낌에 맞게 고쳐도 됩니다).</t>
        </is>
      </c>
    </row>
    <row r="36">
      <c r="A36" s="1" t="inlineStr">
        <is>
          <t>■ 접근성 좋은 향수 추가</t>
        </is>
      </c>
    </row>
    <row r="37">
      <c r="A37" s="2" t="inlineStr">
        <is>
          <t>- 백화점·올리브영 등에서 시향하기 쉬운 대중 브랜드 향수 15개를 추가했습니다 (총 114개). 같은 방식의 AI 초안이며 공식 확인 전입니다.</t>
        </is>
      </c>
    </row>
    <row r="38">
      <c r="A38" s="2" t="inlineStr">
        <is>
          <t>- polarizing(호불호) 기준: low=가벼움~보통 강도에 거부감 적은 계열, mid=개성 있지만 대중적, high=강한 구르망·레더·오우드·진한 꽃·향신료 위주. 판매순위는 기준으로 쓰지 않습니다.</t>
        </is>
      </c>
    </row>
    <row r="40">
      <c r="A40" s="1" t="inlineStr">
        <is>
          <t>■ 시향 가능 채널(channels) 조사</t>
        </is>
      </c>
    </row>
    <row r="41">
      <c r="A41" s="2" t="inlineStr">
        <is>
          <t>- 브랜드 기준으로 웹 검색해 근거를 찾았습니다. 공식 사이트 대부분이 접속을 막아 근거가 검색 결과 요약 수준인 경우가 많습니다.</t>
        </is>
      </c>
    </row>
    <row r="42">
      <c r="A42" s="2" t="inlineStr">
        <is>
          <t>- channels_status가 '높음/보통'인 브랜드만 앱에 보여줍니다. '낮음/미확인'은 후보로만 남겼으니 직접 확인한 뒤 '높음 (앱에 표시)'로 바꾸면 앱에 나옵니다.</t>
        </is>
      </c>
    </row>
    <row r="43">
      <c r="A43" s="2" t="inlineStr">
        <is>
          <t>- 향수별 재고가 아니라 브랜드 기준입니다. 근거는 channels 시트에 모아 두었습니다.</t>
        </is>
      </c>
    </row>
    <row r="44">
      <c r="A44" s="2" t="inlineStr">
        <is>
          <t>■ 향수 98개 추가 (2026-10-08, 총 212개)</t>
        </is>
      </c>
    </row>
    <row r="45">
      <c r="A45" s="2" t="inlineStr">
        <is>
          <t>- 샤넬·디올·에르메스·조 말론·딥티크·르 라보·메종 마르지엘라 레플리카·논픽션 등 98개를 AI 초안으로 추가했습니다 (노트·농도·분류·문구 모두 공식 확인 전).</t>
        </is>
      </c>
    </row>
    <row r="46">
      <c r="A46" s="2" t="inlineStr">
        <is>
          <t>- 가격은 웹에서 직접 확인한 15개만 채웠고 나머지는 비웠습니다. 이미지는 43개를 찾아 public/perfumes/에 넣었습니다 (해외 리테일러 이미지 포함, image_source_url 참고).</t>
        </is>
      </c>
    </row>
    <row r="47">
      <c r="A47" s="2" t="inlineStr">
        <is>
          <t>- 한국 판매가 확인되지 않은 르 라보 도시 한정 3종과 구찌 길티는 목록에서 뺐습니다.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6" customWidth="1" min="4" max="4"/>
    <col width="24" customWidth="1" min="5" max="5"/>
    <col width="12" customWidth="1" min="6" max="6"/>
    <col width="30" customWidth="1" min="7" max="7"/>
    <col width="30" customWidth="1" min="8" max="8"/>
    <col width="30" customWidth="1" min="9" max="9"/>
    <col width="28" customWidth="1" min="10" max="10"/>
    <col width="13" customWidth="1" min="11" max="11"/>
    <col width="18" customWidth="1" min="12" max="12"/>
    <col width="20" customWidth="1" min="13" max="13"/>
    <col width="16" customWidth="1" min="14" max="14"/>
    <col width="11" customWidth="1" min="15" max="15"/>
    <col width="11" customWidth="1" min="16" max="16"/>
    <col width="18" customWidth="1" min="17" max="17"/>
    <col width="36" customWidth="1" min="18" max="18"/>
    <col width="36" customWidth="1" min="19" max="19"/>
    <col width="40" customWidth="1" min="20" max="20"/>
    <col width="8" customWidth="1" min="21" max="21"/>
    <col width="12" customWidth="1" min="22" max="22"/>
    <col width="14" customWidth="1" min="23" max="23"/>
    <col width="28" customWidth="1" min="24" max="24"/>
    <col width="26" customWidth="1" min="25" max="25"/>
    <col width="16" customWidth="1" min="26" max="26"/>
    <col width="24" customWidth="1" min="27" max="27"/>
    <col width="28" customWidth="1" min="28" max="28"/>
    <col width="24" customWidth="1" min="29" max="29"/>
    <col width="36" customWidth="1" min="30" max="30"/>
    <col width="22" customWidth="1" min="31" max="31"/>
  </cols>
  <sheetData>
    <row r="1" ht="26" customHeight="1">
      <c r="A1" s="3" t="inlineStr">
        <is>
          <t>id</t>
        </is>
      </c>
      <c r="B1" s="3" t="inlineStr">
        <is>
          <t>brand</t>
        </is>
      </c>
      <c r="C1" s="3" t="inlineStr">
        <is>
          <t>brand_ko</t>
        </is>
      </c>
      <c r="D1" s="3" t="inlineStr">
        <is>
          <t>name</t>
        </is>
      </c>
      <c r="E1" s="3" t="inlineStr">
        <is>
          <t>name_ko</t>
        </is>
      </c>
      <c r="F1" s="3" t="inlineStr">
        <is>
          <t>concentration</t>
        </is>
      </c>
      <c r="G1" s="3" t="inlineStr">
        <is>
          <t>top_notes</t>
        </is>
      </c>
      <c r="H1" s="3" t="inlineStr">
        <is>
          <t>middle_notes</t>
        </is>
      </c>
      <c r="I1" s="3" t="inlineStr">
        <is>
          <t>base_notes</t>
        </is>
      </c>
      <c r="J1" s="3" t="inlineStr">
        <is>
          <t>notes_source_url</t>
        </is>
      </c>
      <c r="K1" s="3" t="inlineStr">
        <is>
          <t>family</t>
        </is>
      </c>
      <c r="L1" s="3" t="inlineStr">
        <is>
          <t>sub_families</t>
        </is>
      </c>
      <c r="M1" s="3" t="inlineStr">
        <is>
          <t>moods</t>
        </is>
      </c>
      <c r="N1" s="3" t="inlineStr">
        <is>
          <t>avoid_flags</t>
        </is>
      </c>
      <c r="O1" s="3" t="inlineStr">
        <is>
          <t>intensity</t>
        </is>
      </c>
      <c r="P1" s="3" t="inlineStr">
        <is>
          <t>polarizing</t>
        </is>
      </c>
      <c r="Q1" s="3" t="inlineStr">
        <is>
          <t>season_occasion</t>
        </is>
      </c>
      <c r="R1" s="3" t="inlineStr">
        <is>
          <t>summary</t>
        </is>
      </c>
      <c r="S1" s="3" t="inlineStr">
        <is>
          <t>drydown</t>
        </is>
      </c>
      <c r="T1" s="3" t="inlineStr">
        <is>
          <t>check_point</t>
        </is>
      </c>
      <c r="U1" s="3" t="inlineStr">
        <is>
          <t>kr_ml</t>
        </is>
      </c>
      <c r="V1" s="3" t="inlineStr">
        <is>
          <t>kr_krw</t>
        </is>
      </c>
      <c r="W1" s="3" t="inlineStr">
        <is>
          <t>kr_checked_at</t>
        </is>
      </c>
      <c r="X1" s="3" t="inlineStr">
        <is>
          <t>kr_source_url</t>
        </is>
      </c>
      <c r="Y1" s="3" t="inlineStr">
        <is>
          <t>store_query</t>
        </is>
      </c>
      <c r="Z1" s="3" t="inlineStr">
        <is>
          <t>channels</t>
        </is>
      </c>
      <c r="AA1" s="3" t="inlineStr">
        <is>
          <t>image_file</t>
        </is>
      </c>
      <c r="AB1" s="3" t="inlineStr">
        <is>
          <t>image_source_url</t>
        </is>
      </c>
      <c r="AC1" s="3" t="inlineStr">
        <is>
          <t>data_status</t>
        </is>
      </c>
      <c r="AD1" s="3" t="inlineStr">
        <is>
          <t>todo</t>
        </is>
      </c>
      <c r="AE1" s="3" t="inlineStr">
        <is>
          <t>channels_status</t>
        </is>
      </c>
    </row>
    <row r="2">
      <c r="A2" s="4" t="inlineStr">
        <is>
          <t>acqua-di-parma-colonia</t>
        </is>
      </c>
      <c r="B2" s="4" t="inlineStr">
        <is>
          <t>Acqua di Parma</t>
        </is>
      </c>
      <c r="C2" s="5" t="inlineStr">
        <is>
          <t>아쿠아 디 파르마</t>
        </is>
      </c>
      <c r="D2" s="4" t="inlineStr">
        <is>
          <t>Colonia</t>
        </is>
      </c>
      <c r="E2" s="5" t="inlineStr">
        <is>
          <t>콜로니아</t>
        </is>
      </c>
      <c r="F2" s="5" t="inlineStr">
        <is>
          <t>EDC</t>
        </is>
      </c>
      <c r="G2" s="5" t="inlineStr">
        <is>
          <t>Bergamot, Lemon, Orange</t>
        </is>
      </c>
      <c r="H2" s="5" t="inlineStr">
        <is>
          <t>Lavender, Rosemary, Rose</t>
        </is>
      </c>
      <c r="I2" s="5" t="inlineStr">
        <is>
          <t>Sandalwood, Vetiver, Patchouli</t>
        </is>
      </c>
      <c r="J2" s="6" t="n"/>
      <c r="K2" s="5" t="inlineStr">
        <is>
          <t>citrus</t>
        </is>
      </c>
      <c r="L2" s="5" t="inlineStr">
        <is>
          <t>aromatic</t>
        </is>
      </c>
      <c r="M2" s="5" t="inlineStr">
        <is>
          <t>clean, fresh, zesty, cool, calm</t>
        </is>
      </c>
      <c r="N2" s="5" t="n"/>
      <c r="O2" s="5" t="inlineStr">
        <is>
          <t>light</t>
        </is>
      </c>
      <c r="P2" s="5" t="inlineStr">
        <is>
          <t>low</t>
        </is>
      </c>
      <c r="Q2" s="5" t="inlineStr">
        <is>
          <t>사계절 · 출근</t>
        </is>
      </c>
      <c r="R2" s="5" t="inlineStr">
        <is>
          <t>레몬과 라벤더가 어우러진 깔끔한 클래식 코롱</t>
        </is>
      </c>
      <c r="S2" s="5" t="inlineStr">
        <is>
          <t>몇 시간 뒤엔 부드러운 나무 향만 가볍게 남아요</t>
        </is>
      </c>
      <c r="T2" s="5" t="inlineStr">
        <is>
          <t>처음의 레몬 향이 라벤더와 나무 향으로 바뀌는지 맡아보세요</t>
        </is>
      </c>
      <c r="U2" s="6" t="n"/>
      <c r="V2" s="6" t="n"/>
      <c r="W2" s="6" t="n"/>
      <c r="X2" s="6" t="n"/>
      <c r="Y2" s="4" t="inlineStr">
        <is>
          <t>아쿠아 디 파르마 백화점</t>
        </is>
      </c>
      <c r="Z2" s="6" t="inlineStr">
        <is>
          <t>면세점</t>
        </is>
      </c>
      <c r="AA2" s="6" t="inlineStr">
        <is>
          <t>acqua-di-parma-colonia.jpeg</t>
        </is>
      </c>
      <c r="AB2" s="6" t="inlineStr">
        <is>
          <t>https://kream.co.kr/products/226125</t>
        </is>
      </c>
      <c r="AC2" s="4" t="inlineStr">
        <is>
          <t>AI 초안 (공식 확인 전)</t>
        </is>
      </c>
      <c r="AD2" s="4" t="inlineStr">
        <is>
          <t>노트·농도 공식 확인 / 국내 정가 / 이미지 / 시향 가능 채널</t>
        </is>
      </c>
      <c r="AE2" s="6" t="inlineStr">
        <is>
          <t>낮음 (앱에 표시 안 함)</t>
        </is>
      </c>
    </row>
    <row r="3">
      <c r="A3" s="4" t="inlineStr">
        <is>
          <t>tom-ford-neroli-portofino</t>
        </is>
      </c>
      <c r="B3" s="4" t="inlineStr">
        <is>
          <t>Tom Ford</t>
        </is>
      </c>
      <c r="C3" s="5" t="inlineStr">
        <is>
          <t>톰 포드</t>
        </is>
      </c>
      <c r="D3" s="4" t="inlineStr">
        <is>
          <t>Neroli Portofino</t>
        </is>
      </c>
      <c r="E3" s="5" t="inlineStr">
        <is>
          <t>네롤리 포르토피노</t>
        </is>
      </c>
      <c r="F3" s="5" t="inlineStr">
        <is>
          <t>EDP</t>
        </is>
      </c>
      <c r="G3" s="5" t="inlineStr">
        <is>
          <t>Bergamot, Lemon, Mandarin</t>
        </is>
      </c>
      <c r="H3" s="5" t="inlineStr">
        <is>
          <t>Neroli, Orange Blossom, Lavender</t>
        </is>
      </c>
      <c r="I3" s="5" t="inlineStr">
        <is>
          <t>Amber</t>
        </is>
      </c>
      <c r="J3" s="6" t="n"/>
      <c r="K3" s="5" t="inlineStr">
        <is>
          <t>citrus</t>
        </is>
      </c>
      <c r="L3" s="5" t="inlineStr">
        <is>
          <t>whiteFloral</t>
        </is>
      </c>
      <c r="M3" s="5" t="inlineStr">
        <is>
          <t>fresh, zesty, clean, elegant, cool</t>
        </is>
      </c>
      <c r="N3" s="5" t="n"/>
      <c r="O3" s="5" t="inlineStr">
        <is>
          <t>medium</t>
        </is>
      </c>
      <c r="P3" s="5" t="inlineStr">
        <is>
          <t>low</t>
        </is>
      </c>
      <c r="Q3" s="5" t="inlineStr">
        <is>
          <t>봄·여름 · 휴가</t>
        </is>
      </c>
      <c r="R3" s="5" t="inlineStr">
        <is>
          <t>지중해 햇살 같은 시트러스와 오렌지 꽃 향</t>
        </is>
      </c>
      <c r="S3" s="5" t="inlineStr">
        <is>
          <t>몇 시간 뒤엔 부드러운 앰버가 살결에 은은히 남아요</t>
        </is>
      </c>
      <c r="T3" s="5" t="inlineStr">
        <is>
          <t>시트러스 뒤에 꽃 향이 얼마나 올라오는지 확인해 보세요</t>
        </is>
      </c>
      <c r="U3" s="6" t="n"/>
      <c r="V3" s="6" t="n"/>
      <c r="W3" s="6" t="n"/>
      <c r="X3" s="6" t="n"/>
      <c r="Y3" s="4" t="inlineStr">
        <is>
          <t>톰 포드 뷰티 백화점</t>
        </is>
      </c>
      <c r="Z3" s="6" t="inlineStr">
        <is>
          <t>백화점</t>
        </is>
      </c>
      <c r="AA3" s="6" t="n"/>
      <c r="AB3" s="6" t="n"/>
      <c r="AC3" s="4" t="inlineStr">
        <is>
          <t>AI 초안 (공식 확인 전)</t>
        </is>
      </c>
      <c r="AD3" s="4" t="inlineStr">
        <is>
          <t>노트·농도 공식 확인 / 국내 정가 / 이미지 / 시향 가능 채널</t>
        </is>
      </c>
      <c r="AE3" s="6" t="inlineStr">
        <is>
          <t>보통 (앱에 표시)</t>
        </is>
      </c>
    </row>
    <row r="4">
      <c r="A4" s="4" t="inlineStr">
        <is>
          <t>dolce-gabbana-light-blue</t>
        </is>
      </c>
      <c r="B4" s="4" t="inlineStr">
        <is>
          <t>Dolce &amp; Gabbana</t>
        </is>
      </c>
      <c r="C4" s="5" t="inlineStr">
        <is>
          <t>돌체 앤 가바나</t>
        </is>
      </c>
      <c r="D4" s="4" t="inlineStr">
        <is>
          <t>Light Blue</t>
        </is>
      </c>
      <c r="E4" s="5" t="inlineStr">
        <is>
          <t>라이트 블루</t>
        </is>
      </c>
      <c r="F4" s="5" t="inlineStr">
        <is>
          <t>EDT</t>
        </is>
      </c>
      <c r="G4" s="5" t="inlineStr">
        <is>
          <t>Lemon, Apple</t>
        </is>
      </c>
      <c r="H4" s="5" t="inlineStr">
        <is>
          <t>Bamboo, Jasmine, White Rose</t>
        </is>
      </c>
      <c r="I4" s="5" t="inlineStr">
        <is>
          <t>Cedar, Musk, Amber</t>
        </is>
      </c>
      <c r="J4" s="6" t="n"/>
      <c r="K4" s="5" t="inlineStr">
        <is>
          <t>citrus</t>
        </is>
      </c>
      <c r="L4" s="5" t="inlineStr">
        <is>
          <t>fruity, aqua</t>
        </is>
      </c>
      <c r="M4" s="5" t="inlineStr">
        <is>
          <t>zesty, fresh, clean, cool</t>
        </is>
      </c>
      <c r="N4" s="5" t="n"/>
      <c r="O4" s="5" t="inlineStr">
        <is>
          <t>light</t>
        </is>
      </c>
      <c r="P4" s="5" t="inlineStr">
        <is>
          <t>low</t>
        </is>
      </c>
      <c r="Q4" s="5" t="inlineStr">
        <is>
          <t>여름 · 데일리</t>
        </is>
      </c>
      <c r="R4" s="5" t="inlineStr">
        <is>
          <t>레몬과 사과의 청량한 여름 향</t>
        </is>
      </c>
      <c r="S4" s="5" t="inlineStr">
        <is>
          <t>시간이 지나면 가벼운 머스크와 시더가 남아요</t>
        </is>
      </c>
      <c r="T4" s="5" t="inlineStr">
        <is>
          <t>새콤한 첫 향이 얼마나 빨리 가라앉는지 맡아보세요</t>
        </is>
      </c>
      <c r="U4" s="6" t="n"/>
      <c r="V4" s="6" t="n"/>
      <c r="W4" s="6" t="n"/>
      <c r="X4" s="6" t="n"/>
      <c r="Y4" s="4" t="inlineStr">
        <is>
          <t>돌체앤가바나 백화점</t>
        </is>
      </c>
      <c r="Z4" s="6" t="inlineStr">
        <is>
          <t>올리브영</t>
        </is>
      </c>
      <c r="AA4" s="6" t="n"/>
      <c r="AB4" s="6" t="n"/>
      <c r="AC4" s="4" t="inlineStr">
        <is>
          <t>AI 초안 (공식 확인 전)</t>
        </is>
      </c>
      <c r="AD4" s="4" t="inlineStr">
        <is>
          <t>노트·농도 공식 확인 / 국내 정가 / 이미지 / 시향 가능 채널</t>
        </is>
      </c>
      <c r="AE4" s="6" t="inlineStr">
        <is>
          <t>보통 (앱에 표시)</t>
        </is>
      </c>
    </row>
    <row r="5">
      <c r="A5" s="4" t="inlineStr">
        <is>
          <t>calvin-klein-ck-one</t>
        </is>
      </c>
      <c r="B5" s="4" t="inlineStr">
        <is>
          <t>Calvin Klein</t>
        </is>
      </c>
      <c r="C5" s="5" t="inlineStr">
        <is>
          <t>캘빈 클라인</t>
        </is>
      </c>
      <c r="D5" s="4" t="inlineStr">
        <is>
          <t>CK One</t>
        </is>
      </c>
      <c r="E5" s="5" t="inlineStr">
        <is>
          <t>씨케이 원</t>
        </is>
      </c>
      <c r="F5" s="5" t="inlineStr">
        <is>
          <t>EDT</t>
        </is>
      </c>
      <c r="G5" s="5" t="inlineStr">
        <is>
          <t>Bergamot, Lemon, Pineapple</t>
        </is>
      </c>
      <c r="H5" s="5" t="inlineStr">
        <is>
          <t>Jasmine, Violet, Rose</t>
        </is>
      </c>
      <c r="I5" s="5" t="inlineStr">
        <is>
          <t>Musk, Amber, Cedar</t>
        </is>
      </c>
      <c r="J5" s="6" t="n"/>
      <c r="K5" s="5" t="inlineStr">
        <is>
          <t>citrus</t>
        </is>
      </c>
      <c r="L5" s="5" t="inlineStr">
        <is>
          <t>musk, green</t>
        </is>
      </c>
      <c r="M5" s="5" t="inlineStr">
        <is>
          <t>clean, fresh, zesty, cool</t>
        </is>
      </c>
      <c r="N5" s="5" t="inlineStr">
        <is>
          <t>soapy</t>
        </is>
      </c>
      <c r="O5" s="5" t="inlineStr">
        <is>
          <t>light</t>
        </is>
      </c>
      <c r="P5" s="5" t="inlineStr">
        <is>
          <t>low</t>
        </is>
      </c>
      <c r="Q5" s="5" t="inlineStr">
        <is>
          <t>사계절 · 데일리</t>
        </is>
      </c>
      <c r="R5" s="5" t="inlineStr">
        <is>
          <t>누구나 편하게 쓰는 깨끗한 시트러스 머스크</t>
        </is>
      </c>
      <c r="S5" s="5" t="inlineStr">
        <is>
          <t>몇 시간 뒤엔 깨끗한 비누 같은 머스크가 남아요</t>
        </is>
      </c>
      <c r="T5" s="5" t="inlineStr">
        <is>
          <t>상큼한 첫 향이 머스크로 넘어가는 과정을 맡아보세요</t>
        </is>
      </c>
      <c r="U5" s="6" t="n"/>
      <c r="V5" s="6" t="n"/>
      <c r="W5" s="6" t="n"/>
      <c r="X5" s="6" t="n"/>
      <c r="Y5" s="4" t="inlineStr">
        <is>
          <t>캘빈클라인 향수 백화점</t>
        </is>
      </c>
      <c r="Z5" s="6" t="inlineStr">
        <is>
          <t>[확인 필요]</t>
        </is>
      </c>
      <c r="AA5" s="6" t="n"/>
      <c r="AB5" s="6" t="n"/>
      <c r="AC5" s="4" t="inlineStr">
        <is>
          <t>AI 초안 (공식 확인 전)</t>
        </is>
      </c>
      <c r="AD5" s="4" t="inlineStr">
        <is>
          <t>노트·농도 공식 확인 / 국내 정가 / 이미지 / 시향 가능 채널</t>
        </is>
      </c>
      <c r="AE5" s="6" t="inlineStr">
        <is>
          <t>미확인</t>
        </is>
      </c>
    </row>
    <row r="6">
      <c r="A6" s="4" t="inlineStr">
        <is>
          <t>jo-malone-english-pear-freesia</t>
        </is>
      </c>
      <c r="B6" s="4" t="inlineStr">
        <is>
          <t>Jo Malone London</t>
        </is>
      </c>
      <c r="C6" s="5" t="inlineStr">
        <is>
          <t>조 말론 런던</t>
        </is>
      </c>
      <c r="D6" s="4" t="inlineStr">
        <is>
          <t>English Pear &amp; Freesia</t>
        </is>
      </c>
      <c r="E6" s="5" t="inlineStr">
        <is>
          <t>잉글리시 페어 앤 프리지아</t>
        </is>
      </c>
      <c r="F6" s="5" t="inlineStr">
        <is>
          <t>Cologne</t>
        </is>
      </c>
      <c r="G6" s="5" t="inlineStr">
        <is>
          <t>Pear</t>
        </is>
      </c>
      <c r="H6" s="5" t="inlineStr">
        <is>
          <t>Freesia, Rose</t>
        </is>
      </c>
      <c r="I6" s="5" t="inlineStr">
        <is>
          <t>Patchouli, Amber</t>
        </is>
      </c>
      <c r="J6" s="6" t="n"/>
      <c r="K6" s="5" t="inlineStr">
        <is>
          <t>fruity</t>
        </is>
      </c>
      <c r="L6" s="5" t="inlineStr">
        <is>
          <t>floral</t>
        </is>
      </c>
      <c r="M6" s="5" t="inlineStr">
        <is>
          <t>soft, fresh, elegant, lovely, sweet</t>
        </is>
      </c>
      <c r="N6" s="5" t="n"/>
      <c r="O6" s="5" t="inlineStr">
        <is>
          <t>light</t>
        </is>
      </c>
      <c r="P6" s="5" t="inlineStr">
        <is>
          <t>low</t>
        </is>
      </c>
      <c r="Q6" s="5" t="inlineStr">
        <is>
          <t>가을 · 데일리</t>
        </is>
      </c>
      <c r="R6" s="5" t="inlineStr">
        <is>
          <t>잘 익은 배와 프리지아의 보드라운 향</t>
        </is>
      </c>
      <c r="S6" s="5" t="inlineStr">
        <is>
          <t>시간이 지나면 부드러운 패출리와 앰버가 따뜻하게 남아요</t>
        </is>
      </c>
      <c r="T6" s="5" t="inlineStr">
        <is>
          <t>배 향이 꽃 향으로 바뀌는 순간을 맡아보세요</t>
        </is>
      </c>
      <c r="U6" s="6" t="n"/>
      <c r="V6" s="6" t="n"/>
      <c r="W6" s="6" t="n"/>
      <c r="X6" s="6" t="n"/>
      <c r="Y6" s="4" t="inlineStr">
        <is>
          <t>조말론 런던 백화점</t>
        </is>
      </c>
      <c r="Z6" s="6" t="inlineStr">
        <is>
          <t>백화점, 브랜드 매장</t>
        </is>
      </c>
      <c r="AA6" s="6" t="n"/>
      <c r="AB6" s="6" t="n"/>
      <c r="AC6" s="4" t="inlineStr">
        <is>
          <t>AI 초안 (공식 확인 전)</t>
        </is>
      </c>
      <c r="AD6" s="4" t="inlineStr">
        <is>
          <t>노트·농도 공식 확인 / 국내 정가 / 이미지 / 시향 가능 채널</t>
        </is>
      </c>
      <c r="AE6" s="6" t="inlineStr">
        <is>
          <t>보통 (앱에 표시)</t>
        </is>
      </c>
    </row>
    <row r="7">
      <c r="A7" s="4" t="inlineStr">
        <is>
          <t>chanel-chance-eau-tendre</t>
        </is>
      </c>
      <c r="B7" s="4" t="inlineStr">
        <is>
          <t>Chanel</t>
        </is>
      </c>
      <c r="C7" s="5" t="inlineStr">
        <is>
          <t>샤넬</t>
        </is>
      </c>
      <c r="D7" s="4" t="inlineStr">
        <is>
          <t>Chance Eau Tendre</t>
        </is>
      </c>
      <c r="E7" s="5" t="inlineStr">
        <is>
          <t>샹스 오 땅드르</t>
        </is>
      </c>
      <c r="F7" s="5" t="inlineStr">
        <is>
          <t>EDT</t>
        </is>
      </c>
      <c r="G7" s="5" t="inlineStr">
        <is>
          <t>Grapefruit, Quince</t>
        </is>
      </c>
      <c r="H7" s="5" t="inlineStr">
        <is>
          <t>Jasmine</t>
        </is>
      </c>
      <c r="I7" s="5" t="inlineStr">
        <is>
          <t>White Musk, Iris, Cedar, Amber</t>
        </is>
      </c>
      <c r="J7" s="6" t="n"/>
      <c r="K7" s="5" t="inlineStr">
        <is>
          <t>fruity</t>
        </is>
      </c>
      <c r="L7" s="5" t="inlineStr">
        <is>
          <t>whiteFloral, powdery</t>
        </is>
      </c>
      <c r="M7" s="5" t="inlineStr">
        <is>
          <t>soft, lovely, fresh, sweet, elegant</t>
        </is>
      </c>
      <c r="N7" s="5" t="n"/>
      <c r="O7" s="5" t="inlineStr">
        <is>
          <t>light</t>
        </is>
      </c>
      <c r="P7" s="5" t="inlineStr">
        <is>
          <t>low</t>
        </is>
      </c>
      <c r="Q7" s="5" t="inlineStr">
        <is>
          <t>봄 · 데이트</t>
        </is>
      </c>
      <c r="R7" s="5" t="inlineStr">
        <is>
          <t>새콤한 과일과 하얀 꽃이 만난 부드러운 향</t>
        </is>
      </c>
      <c r="S7" s="5" t="inlineStr">
        <is>
          <t>몇 시간 뒤엔 보송한 머스크가 포근하게 남아요</t>
        </is>
      </c>
      <c r="T7" s="5" t="inlineStr">
        <is>
          <t>과일 향 뒤에 보송한 느낌이 오는지 확인해 보세요</t>
        </is>
      </c>
      <c r="U7" s="6" t="n"/>
      <c r="V7" s="6" t="n"/>
      <c r="W7" s="6" t="n"/>
      <c r="X7" s="6" t="n"/>
      <c r="Y7" s="4" t="inlineStr">
        <is>
          <t>샤넬 뷰티 백화점</t>
        </is>
      </c>
      <c r="Z7" s="6" t="inlineStr">
        <is>
          <t>백화점</t>
        </is>
      </c>
      <c r="AA7" s="6" t="n"/>
      <c r="AB7" s="6" t="n"/>
      <c r="AC7" s="4" t="inlineStr">
        <is>
          <t>AI 초안 (공식 확인 전)</t>
        </is>
      </c>
      <c r="AD7" s="4" t="inlineStr">
        <is>
          <t>노트·농도 공식 확인 / 국내 정가 / 이미지 / 시향 가능 채널</t>
        </is>
      </c>
      <c r="AE7" s="6" t="inlineStr">
        <is>
          <t>보통 (앱에 표시)</t>
        </is>
      </c>
    </row>
    <row r="8">
      <c r="A8" s="4" t="inlineStr">
        <is>
          <t>burberry-her</t>
        </is>
      </c>
      <c r="B8" s="4" t="inlineStr">
        <is>
          <t>Burberry</t>
        </is>
      </c>
      <c r="C8" s="5" t="inlineStr">
        <is>
          <t>버버리</t>
        </is>
      </c>
      <c r="D8" s="4" t="inlineStr">
        <is>
          <t>Her</t>
        </is>
      </c>
      <c r="E8" s="5" t="inlineStr">
        <is>
          <t>허</t>
        </is>
      </c>
      <c r="F8" s="5" t="inlineStr">
        <is>
          <t>EDP</t>
        </is>
      </c>
      <c r="G8" s="5" t="inlineStr">
        <is>
          <t>Blackberry, Raspberry, Strawberry</t>
        </is>
      </c>
      <c r="H8" s="5" t="inlineStr">
        <is>
          <t>Jasmine, Violet</t>
        </is>
      </c>
      <c r="I8" s="5" t="inlineStr">
        <is>
          <t>Amber, Musk, Vanilla</t>
        </is>
      </c>
      <c r="J8" s="6" t="n"/>
      <c r="K8" s="5" t="inlineStr">
        <is>
          <t>fruity</t>
        </is>
      </c>
      <c r="L8" s="5" t="inlineStr">
        <is>
          <t>gourmand</t>
        </is>
      </c>
      <c r="M8" s="5" t="inlineStr">
        <is>
          <t>sweet, lovely, fresh, warm</t>
        </is>
      </c>
      <c r="N8" s="5" t="inlineStr">
        <is>
          <t>tooSweet</t>
        </is>
      </c>
      <c r="O8" s="5" t="inlineStr">
        <is>
          <t>medium</t>
        </is>
      </c>
      <c r="P8" s="5" t="inlineStr">
        <is>
          <t>mid</t>
        </is>
      </c>
      <c r="Q8" s="5" t="inlineStr">
        <is>
          <t>가을·겨울 · 데이트</t>
        </is>
      </c>
      <c r="R8" s="5" t="inlineStr">
        <is>
          <t>베리 잼처럼 달콤하고 진한 과일 향</t>
        </is>
      </c>
      <c r="S8" s="5" t="inlineStr">
        <is>
          <t>몇 시간 뒤엔 달콤한 바닐라 머스크가 남아요</t>
        </is>
      </c>
      <c r="T8" s="5" t="inlineStr">
        <is>
          <t>첫 향의 달콤함이 부담스럽지 않은지 맡아보세요</t>
        </is>
      </c>
      <c r="U8" s="6" t="n">
        <v>50</v>
      </c>
      <c r="V8" s="10" t="n">
        <v>189000</v>
      </c>
      <c r="W8" s="6" t="inlineStr">
        <is>
          <t>2026-10-07</t>
        </is>
      </c>
      <c r="X8" s="6" t="inlineStr">
        <is>
          <t>https://kr.burberry.com/her-eau-de-parfum-50ml-p40804581</t>
        </is>
      </c>
      <c r="Y8" s="4" t="inlineStr">
        <is>
          <t>버버리 향수 백화점</t>
        </is>
      </c>
      <c r="Z8" s="6" t="inlineStr">
        <is>
          <t>[확인 필요]</t>
        </is>
      </c>
      <c r="AA8" s="6" t="inlineStr">
        <is>
          <t>burberry-her.jpg</t>
        </is>
      </c>
      <c r="AB8" s="6" t="inlineStr">
        <is>
          <t>https://kr.burberry.com/her-eau-de-parfum-50ml-p40804581</t>
        </is>
      </c>
      <c r="AC8" s="4" t="inlineStr">
        <is>
          <t>AI 초안 (공식 확인 전)</t>
        </is>
      </c>
      <c r="AD8" s="4" t="inlineStr">
        <is>
          <t>노트·농도 공식 확인 / 시향 가능 채널 (가격·이미지는 공식 페이지에서 반영됨)</t>
        </is>
      </c>
      <c r="AE8" s="6" t="inlineStr">
        <is>
          <t>미확인</t>
        </is>
      </c>
    </row>
    <row r="9">
      <c r="A9" s="4" t="inlineStr">
        <is>
          <t>marc-jacobs-daisy</t>
        </is>
      </c>
      <c r="B9" s="4" t="inlineStr">
        <is>
          <t>Marc Jacobs</t>
        </is>
      </c>
      <c r="C9" s="5" t="inlineStr">
        <is>
          <t>마크 제이콥스</t>
        </is>
      </c>
      <c r="D9" s="4" t="inlineStr">
        <is>
          <t>Daisy</t>
        </is>
      </c>
      <c r="E9" s="5" t="inlineStr">
        <is>
          <t>데이지</t>
        </is>
      </c>
      <c r="F9" s="5" t="inlineStr">
        <is>
          <t>EDT</t>
        </is>
      </c>
      <c r="G9" s="5" t="inlineStr">
        <is>
          <t>Strawberry, Violet Leaf, Grapefruit</t>
        </is>
      </c>
      <c r="H9" s="5" t="inlineStr">
        <is>
          <t>Violet, Jasmine</t>
        </is>
      </c>
      <c r="I9" s="5" t="inlineStr">
        <is>
          <t>Musk, Vanilla, Cedar</t>
        </is>
      </c>
      <c r="J9" s="6" t="n"/>
      <c r="K9" s="5" t="inlineStr">
        <is>
          <t>fruity</t>
        </is>
      </c>
      <c r="L9" s="5" t="inlineStr">
        <is>
          <t>floral</t>
        </is>
      </c>
      <c r="M9" s="5" t="inlineStr">
        <is>
          <t>lovely, fresh, sweet, soft</t>
        </is>
      </c>
      <c r="N9" s="5" t="n"/>
      <c r="O9" s="5" t="inlineStr">
        <is>
          <t>light</t>
        </is>
      </c>
      <c r="P9" s="5" t="inlineStr">
        <is>
          <t>low</t>
        </is>
      </c>
      <c r="Q9" s="5" t="inlineStr">
        <is>
          <t>봄 · 데일리</t>
        </is>
      </c>
      <c r="R9" s="5" t="inlineStr">
        <is>
          <t>딸기와 꽃이 어우러진 발랄한 향</t>
        </is>
      </c>
      <c r="S9" s="5" t="inlineStr">
        <is>
          <t>시간이 지나면 보송한 머스크와 가벼운 바닐라가 남아요</t>
        </is>
      </c>
      <c r="T9" s="5" t="inlineStr">
        <is>
          <t>딸기 향이 꽃 향으로 이어지는 변화를 맡아보세요</t>
        </is>
      </c>
      <c r="U9" s="6" t="n"/>
      <c r="V9" s="6" t="n"/>
      <c r="W9" s="6" t="n"/>
      <c r="X9" s="6" t="n"/>
      <c r="Y9" s="4" t="inlineStr">
        <is>
          <t>마크제이콥스 데이지 백화점</t>
        </is>
      </c>
      <c r="Z9" s="6" t="inlineStr">
        <is>
          <t>올리브영</t>
        </is>
      </c>
      <c r="AA9" s="6" t="n"/>
      <c r="AB9" s="6" t="n"/>
      <c r="AC9" s="4" t="inlineStr">
        <is>
          <t>AI 초안 (공식 확인 전)</t>
        </is>
      </c>
      <c r="AD9" s="4" t="inlineStr">
        <is>
          <t>노트·농도 공식 확인 / 국내 정가 / 이미지 / 시향 가능 채널</t>
        </is>
      </c>
      <c r="AE9" s="6" t="inlineStr">
        <is>
          <t>보통 (앱에 표시)</t>
        </is>
      </c>
    </row>
    <row r="10">
      <c r="A10" s="4" t="inlineStr">
        <is>
          <t>armani-si-edp</t>
        </is>
      </c>
      <c r="B10" s="4" t="inlineStr">
        <is>
          <t>Giorgio Armani</t>
        </is>
      </c>
      <c r="C10" s="5" t="inlineStr">
        <is>
          <t>조르지오 아르마니</t>
        </is>
      </c>
      <c r="D10" s="4" t="inlineStr">
        <is>
          <t>Si</t>
        </is>
      </c>
      <c r="E10" s="5" t="inlineStr">
        <is>
          <t>시</t>
        </is>
      </c>
      <c r="F10" s="5" t="inlineStr">
        <is>
          <t>EDP</t>
        </is>
      </c>
      <c r="G10" s="5" t="inlineStr">
        <is>
          <t>Blackcurrant, Mandarin</t>
        </is>
      </c>
      <c r="H10" s="5" t="inlineStr">
        <is>
          <t>Freesia, Rose</t>
        </is>
      </c>
      <c r="I10" s="5" t="inlineStr">
        <is>
          <t>Vanilla, Patchouli, Amber, Musk</t>
        </is>
      </c>
      <c r="J10" s="6" t="n"/>
      <c r="K10" s="5" t="inlineStr">
        <is>
          <t>fruity</t>
        </is>
      </c>
      <c r="L10" s="5" t="inlineStr">
        <is>
          <t>amber, floral</t>
        </is>
      </c>
      <c r="M10" s="5" t="inlineStr">
        <is>
          <t>elegant, sweet, warm, lovely</t>
        </is>
      </c>
      <c r="N10" s="5" t="n"/>
      <c r="O10" s="5" t="inlineStr">
        <is>
          <t>medium</t>
        </is>
      </c>
      <c r="P10" s="5" t="inlineStr">
        <is>
          <t>mid</t>
        </is>
      </c>
      <c r="Q10" s="5" t="inlineStr">
        <is>
          <t>가을·겨울 · 저녁</t>
        </is>
      </c>
      <c r="R10" s="5" t="inlineStr">
        <is>
          <t>새콤한 베리와 바닐라가 어우러진 세련된 향</t>
        </is>
      </c>
      <c r="S10" s="5" t="inlineStr">
        <is>
          <t>몇 시간 뒤엔 부드러운 바닐라와 앰버가 남아요</t>
        </is>
      </c>
      <c r="T10" s="5" t="inlineStr">
        <is>
          <t>베리 향이 바닐라로 넘어갈 때 달콤함의 정도를 확인해 보세요</t>
        </is>
      </c>
      <c r="U10" s="6" t="n"/>
      <c r="V10" s="6" t="n"/>
      <c r="W10" s="6" t="n"/>
      <c r="X10" s="6" t="n"/>
      <c r="Y10" s="4" t="inlineStr">
        <is>
          <t>조르지오 아르마니 뷰티 백화점</t>
        </is>
      </c>
      <c r="Z10" s="6" t="inlineStr">
        <is>
          <t>면세점</t>
        </is>
      </c>
      <c r="AA10" s="6" t="n"/>
      <c r="AB10" s="6" t="n"/>
      <c r="AC10" s="4" t="inlineStr">
        <is>
          <t>AI 초안 (공식 확인 전)</t>
        </is>
      </c>
      <c r="AD10" s="4" t="inlineStr">
        <is>
          <t>노트·농도 공식 확인 / 국내 정가 / 이미지 / 시향 가능 채널</t>
        </is>
      </c>
      <c r="AE10" s="6" t="inlineStr">
        <is>
          <t>낮음 (앱에 표시 안 함)</t>
        </is>
      </c>
    </row>
    <row r="11">
      <c r="A11" s="4" t="inlineStr">
        <is>
          <t>davidoff-cool-water-man</t>
        </is>
      </c>
      <c r="B11" s="4" t="inlineStr">
        <is>
          <t>Davidoff</t>
        </is>
      </c>
      <c r="C11" s="5" t="inlineStr">
        <is>
          <t>다비도프</t>
        </is>
      </c>
      <c r="D11" s="4" t="inlineStr">
        <is>
          <t>Cool Water Man</t>
        </is>
      </c>
      <c r="E11" s="5" t="inlineStr">
        <is>
          <t>쿨 워터 맨</t>
        </is>
      </c>
      <c r="F11" s="5" t="inlineStr">
        <is>
          <t>EDT</t>
        </is>
      </c>
      <c r="G11" s="5" t="inlineStr">
        <is>
          <t>Mint, Lavender, Sea Notes</t>
        </is>
      </c>
      <c r="H11" s="5" t="inlineStr">
        <is>
          <t>Geranium, Neroli, Jasmine</t>
        </is>
      </c>
      <c r="I11" s="5" t="inlineStr">
        <is>
          <t>Oakmoss, Amber, Musk, Cedar</t>
        </is>
      </c>
      <c r="J11" s="6" t="n"/>
      <c r="K11" s="5" t="inlineStr">
        <is>
          <t>aqua</t>
        </is>
      </c>
      <c r="L11" s="5" t="inlineStr">
        <is>
          <t>aromatic</t>
        </is>
      </c>
      <c r="M11" s="5" t="inlineStr">
        <is>
          <t>cool, fresh, clean</t>
        </is>
      </c>
      <c r="N11" s="5" t="n"/>
      <c r="O11" s="5" t="inlineStr">
        <is>
          <t>light</t>
        </is>
      </c>
      <c r="P11" s="5" t="inlineStr">
        <is>
          <t>low</t>
        </is>
      </c>
      <c r="Q11" s="5" t="inlineStr">
        <is>
          <t>여름 · 운동 후</t>
        </is>
      </c>
      <c r="R11" s="5" t="inlineStr">
        <is>
          <t>바닷바람 같은 시원하고 깨끗한 향</t>
        </is>
      </c>
      <c r="S11" s="5" t="inlineStr">
        <is>
          <t>시간이 지나면 가벼운 이끼와 머스크가 남아요</t>
        </is>
      </c>
      <c r="T11" s="5" t="inlineStr">
        <is>
          <t>민트의 시원함이 얼마나 오래가는지 맡아보세요</t>
        </is>
      </c>
      <c r="U11" s="6" t="n"/>
      <c r="V11" s="6" t="n"/>
      <c r="W11" s="6" t="n"/>
      <c r="X11" s="6" t="n"/>
      <c r="Y11" s="4" t="inlineStr">
        <is>
          <t>다비도프 쿨워터 백화점</t>
        </is>
      </c>
      <c r="Z11" s="6" t="inlineStr">
        <is>
          <t>[확인 필요]</t>
        </is>
      </c>
      <c r="AA11" s="6" t="n"/>
      <c r="AB11" s="6" t="n"/>
      <c r="AC11" s="4" t="inlineStr">
        <is>
          <t>AI 초안 (공식 확인 전)</t>
        </is>
      </c>
      <c r="AD11" s="4" t="inlineStr">
        <is>
          <t>노트·농도 공식 확인 / 국내 정가 / 이미지 / 시향 가능 채널</t>
        </is>
      </c>
      <c r="AE11" s="6" t="inlineStr">
        <is>
          <t>미확인</t>
        </is>
      </c>
    </row>
    <row r="12">
      <c r="A12" s="4" t="inlineStr">
        <is>
          <t>jo-malone-wood-sage-sea-salt</t>
        </is>
      </c>
      <c r="B12" s="4" t="inlineStr">
        <is>
          <t>Jo Malone London</t>
        </is>
      </c>
      <c r="C12" s="5" t="inlineStr">
        <is>
          <t>조 말론 런던</t>
        </is>
      </c>
      <c r="D12" s="4" t="inlineStr">
        <is>
          <t>Wood Sage &amp; Sea Salt</t>
        </is>
      </c>
      <c r="E12" s="5" t="inlineStr">
        <is>
          <t>우드 세이지 앤 씨 솔트</t>
        </is>
      </c>
      <c r="F12" s="5" t="inlineStr">
        <is>
          <t>Cologne</t>
        </is>
      </c>
      <c r="G12" s="5" t="inlineStr">
        <is>
          <t>Grapefruit, Sea Salt</t>
        </is>
      </c>
      <c r="H12" s="5" t="inlineStr">
        <is>
          <t>Sage</t>
        </is>
      </c>
      <c r="I12" s="5" t="inlineStr">
        <is>
          <t>Ambrette</t>
        </is>
      </c>
      <c r="J12" s="6" t="n"/>
      <c r="K12" s="5" t="inlineStr">
        <is>
          <t>aqua</t>
        </is>
      </c>
      <c r="L12" s="5" t="inlineStr">
        <is>
          <t>green, aromatic</t>
        </is>
      </c>
      <c r="M12" s="5" t="inlineStr">
        <is>
          <t>cool, calm, fresh, clean</t>
        </is>
      </c>
      <c r="N12" s="5" t="n"/>
      <c r="O12" s="5" t="inlineStr">
        <is>
          <t>light</t>
        </is>
      </c>
      <c r="P12" s="5" t="inlineStr">
        <is>
          <t>low</t>
        </is>
      </c>
      <c r="Q12" s="5" t="inlineStr">
        <is>
          <t>봄·여름 · 산책</t>
        </is>
      </c>
      <c r="R12" s="5" t="inlineStr">
        <is>
          <t>바닷가 절벽을 걷는 듯한 짭짤하고 깨끗한 향</t>
        </is>
      </c>
      <c r="S12" s="5" t="inlineStr">
        <is>
          <t>시간이 지나면 보송한 머스크 느낌만 가볍게 남아요</t>
        </is>
      </c>
      <c r="T12" s="5" t="inlineStr">
        <is>
          <t>소금과 허브 향이 얼마나 조화로운지 맡아보세요</t>
        </is>
      </c>
      <c r="U12" s="6" t="n"/>
      <c r="V12" s="6" t="n"/>
      <c r="W12" s="6" t="n"/>
      <c r="X12" s="6" t="n"/>
      <c r="Y12" s="4" t="inlineStr">
        <is>
          <t>조말론 런던 백화점</t>
        </is>
      </c>
      <c r="Z12" s="6" t="inlineStr">
        <is>
          <t>백화점, 브랜드 매장</t>
        </is>
      </c>
      <c r="AA12" s="6" t="n"/>
      <c r="AB12" s="6" t="n"/>
      <c r="AC12" s="4" t="inlineStr">
        <is>
          <t>AI 초안 (공식 확인 전)</t>
        </is>
      </c>
      <c r="AD12" s="4" t="inlineStr">
        <is>
          <t>노트·농도 공식 확인 / 국내 정가 / 이미지 / 시향 가능 채널</t>
        </is>
      </c>
      <c r="AE12" s="6" t="inlineStr">
        <is>
          <t>보통 (앱에 표시)</t>
        </is>
      </c>
    </row>
    <row r="13">
      <c r="A13" s="4" t="inlineStr">
        <is>
          <t>armani-acqua-di-gio-homme</t>
        </is>
      </c>
      <c r="B13" s="4" t="inlineStr">
        <is>
          <t>Giorgio Armani</t>
        </is>
      </c>
      <c r="C13" s="5" t="inlineStr">
        <is>
          <t>조르지오 아르마니</t>
        </is>
      </c>
      <c r="D13" s="4" t="inlineStr">
        <is>
          <t>Acqua di Giò Pour Homme</t>
        </is>
      </c>
      <c r="E13" s="5" t="inlineStr">
        <is>
          <t>아쿠아 디 지오 뿌르 옴므</t>
        </is>
      </c>
      <c r="F13" s="5" t="inlineStr">
        <is>
          <t>EDT</t>
        </is>
      </c>
      <c r="G13" s="5" t="inlineStr">
        <is>
          <t>Lime, Lemon, Bergamot</t>
        </is>
      </c>
      <c r="H13" s="5" t="inlineStr">
        <is>
          <t>Sea Notes, Jasmine, Rosemary</t>
        </is>
      </c>
      <c r="I13" s="5" t="inlineStr">
        <is>
          <t>White Musk, Cedar, Patchouli, Oakmoss</t>
        </is>
      </c>
      <c r="J13" s="6" t="n"/>
      <c r="K13" s="5" t="inlineStr">
        <is>
          <t>aqua</t>
        </is>
      </c>
      <c r="L13" s="5" t="inlineStr">
        <is>
          <t>citrus</t>
        </is>
      </c>
      <c r="M13" s="5" t="inlineStr">
        <is>
          <t>cool, clean, fresh</t>
        </is>
      </c>
      <c r="N13" s="5" t="n"/>
      <c r="O13" s="5" t="inlineStr">
        <is>
          <t>medium</t>
        </is>
      </c>
      <c r="P13" s="5" t="inlineStr">
        <is>
          <t>low</t>
        </is>
      </c>
      <c r="Q13" s="5" t="inlineStr">
        <is>
          <t>여름 · 출근</t>
        </is>
      </c>
      <c r="R13" s="5" t="inlineStr">
        <is>
          <t>시원한 바다와 시트러스의 정석 같은 향</t>
        </is>
      </c>
      <c r="S13" s="5" t="inlineStr">
        <is>
          <t>몇 시간 뒤엔 깨끗한 머스크와 나무 향이 남아요</t>
        </is>
      </c>
      <c r="T13" s="5" t="inlineStr">
        <is>
          <t>시트러스 뒤에 바다 느낌이 오는지 확인해 보세요</t>
        </is>
      </c>
      <c r="U13" s="6" t="n"/>
      <c r="V13" s="6" t="n"/>
      <c r="W13" s="6" t="n"/>
      <c r="X13" s="6" t="n"/>
      <c r="Y13" s="4" t="inlineStr">
        <is>
          <t>조르지오 아르마니 뷰티 백화점</t>
        </is>
      </c>
      <c r="Z13" s="6" t="inlineStr">
        <is>
          <t>면세점</t>
        </is>
      </c>
      <c r="AA13" s="6" t="n"/>
      <c r="AB13" s="6" t="n"/>
      <c r="AC13" s="4" t="inlineStr">
        <is>
          <t>AI 초안 (공식 확인 전)</t>
        </is>
      </c>
      <c r="AD13" s="4" t="inlineStr">
        <is>
          <t>노트·농도 공식 확인 / 국내 정가 / 이미지 / 시향 가능 채널</t>
        </is>
      </c>
      <c r="AE13" s="6" t="inlineStr">
        <is>
          <t>낮음 (앱에 표시 안 함)</t>
        </is>
      </c>
    </row>
    <row r="14">
      <c r="A14" s="4" t="inlineStr">
        <is>
          <t>diptyque-philosykos</t>
        </is>
      </c>
      <c r="B14" s="4" t="inlineStr">
        <is>
          <t>Diptyque</t>
        </is>
      </c>
      <c r="C14" s="5" t="inlineStr">
        <is>
          <t>딥티크</t>
        </is>
      </c>
      <c r="D14" s="4" t="inlineStr">
        <is>
          <t>Philosykos</t>
        </is>
      </c>
      <c r="E14" s="5" t="inlineStr">
        <is>
          <t>필로시코스</t>
        </is>
      </c>
      <c r="F14" s="5" t="inlineStr">
        <is>
          <t>EDT</t>
        </is>
      </c>
      <c r="G14" s="5" t="inlineStr">
        <is>
          <t>Fig Leaf</t>
        </is>
      </c>
      <c r="H14" s="5" t="inlineStr">
        <is>
          <t>Fig, Coconut</t>
        </is>
      </c>
      <c r="I14" s="5" t="inlineStr">
        <is>
          <t>Cedar</t>
        </is>
      </c>
      <c r="J14" s="6" t="n"/>
      <c r="K14" s="5" t="inlineStr">
        <is>
          <t>green</t>
        </is>
      </c>
      <c r="L14" s="5" t="inlineStr">
        <is>
          <t>woody, fruity</t>
        </is>
      </c>
      <c r="M14" s="5" t="inlineStr">
        <is>
          <t>fresh, calm, soft</t>
        </is>
      </c>
      <c r="N14" s="5" t="n"/>
      <c r="O14" s="5" t="inlineStr">
        <is>
          <t>medium</t>
        </is>
      </c>
      <c r="P14" s="5" t="inlineStr">
        <is>
          <t>mid</t>
        </is>
      </c>
      <c r="Q14" s="5" t="inlineStr">
        <is>
          <t>봄·여름 · 휴식</t>
        </is>
      </c>
      <c r="R14" s="5" t="inlineStr">
        <is>
          <t>무화과나무 그늘 아래 같은 푸릇하고 부드러운 향</t>
        </is>
      </c>
      <c r="S14" s="5" t="inlineStr">
        <is>
          <t>시간이 지나면 우유 같은 나무 향이 조용히 남아요</t>
        </is>
      </c>
      <c r="T14" s="5" t="inlineStr">
        <is>
          <t>풀 향과 달콤한 열매 향의 균형을 맡아보세요</t>
        </is>
      </c>
      <c r="U14" s="6" t="n"/>
      <c r="V14" s="6" t="n"/>
      <c r="W14" s="6" t="n"/>
      <c r="X14" s="6" t="n"/>
      <c r="Y14" s="4" t="inlineStr">
        <is>
          <t>딥티크 백화점</t>
        </is>
      </c>
      <c r="Z14" s="6" t="inlineStr">
        <is>
          <t>브랜드 매장</t>
        </is>
      </c>
      <c r="AA14" s="6" t="n"/>
      <c r="AB14" s="6" t="n"/>
      <c r="AC14" s="4" t="inlineStr">
        <is>
          <t>AI 초안 (공식 확인 전)</t>
        </is>
      </c>
      <c r="AD14" s="4" t="inlineStr">
        <is>
          <t>노트·농도 공식 확인 / 국내 정가 / 이미지 / 시향 가능 채널</t>
        </is>
      </c>
      <c r="AE14" s="6" t="inlineStr">
        <is>
          <t>높음 (앱에 표시)</t>
        </is>
      </c>
    </row>
    <row r="15">
      <c r="A15" s="4" t="inlineStr">
        <is>
          <t>hermes-un-jardin-sur-le-nil</t>
        </is>
      </c>
      <c r="B15" s="4" t="inlineStr">
        <is>
          <t>Hermès</t>
        </is>
      </c>
      <c r="C15" s="5" t="inlineStr">
        <is>
          <t>에르메스</t>
        </is>
      </c>
      <c r="D15" s="4" t="inlineStr">
        <is>
          <t>Un Jardin sur le Nil</t>
        </is>
      </c>
      <c r="E15" s="5" t="inlineStr">
        <is>
          <t>나일 강의 정원</t>
        </is>
      </c>
      <c r="F15" s="5" t="inlineStr">
        <is>
          <t>EDT</t>
        </is>
      </c>
      <c r="G15" s="5" t="inlineStr">
        <is>
          <t>Green Mango, Grapefruit, Tomato Leaf</t>
        </is>
      </c>
      <c r="H15" s="5" t="inlineStr">
        <is>
          <t>Lotus</t>
        </is>
      </c>
      <c r="I15" s="5" t="inlineStr">
        <is>
          <t>Incense, Cedar</t>
        </is>
      </c>
      <c r="J15" s="6" t="n"/>
      <c r="K15" s="5" t="inlineStr">
        <is>
          <t>green</t>
        </is>
      </c>
      <c r="L15" s="5" t="inlineStr">
        <is>
          <t>fruity, aqua</t>
        </is>
      </c>
      <c r="M15" s="5" t="inlineStr">
        <is>
          <t>fresh, cool, soft</t>
        </is>
      </c>
      <c r="N15" s="5" t="n"/>
      <c r="O15" s="5" t="inlineStr">
        <is>
          <t>light</t>
        </is>
      </c>
      <c r="P15" s="5" t="inlineStr">
        <is>
          <t>low</t>
        </is>
      </c>
      <c r="Q15" s="5" t="inlineStr">
        <is>
          <t>봄·여름 · 데일리</t>
        </is>
      </c>
      <c r="R15" s="5" t="inlineStr">
        <is>
          <t>덜 익은 망고와 연꽃의 청량한 정원 향</t>
        </is>
      </c>
      <c r="S15" s="5" t="inlineStr">
        <is>
          <t>시간이 지나면 은은한 인센스와 나무 향이 가볍게 남아요</t>
        </is>
      </c>
      <c r="T15" s="5" t="inlineStr">
        <is>
          <t>망고의 풋풋함이 부담스럽지 않은지 맡아보세요</t>
        </is>
      </c>
      <c r="U15" s="6" t="n"/>
      <c r="V15" s="6" t="n"/>
      <c r="W15" s="6" t="n"/>
      <c r="X15" s="6" t="n"/>
      <c r="Y15" s="4" t="inlineStr">
        <is>
          <t>에르메스 뷰티 백화점</t>
        </is>
      </c>
      <c r="Z15" s="6" t="inlineStr">
        <is>
          <t>면세점</t>
        </is>
      </c>
      <c r="AA15" s="6" t="n"/>
      <c r="AB15" s="6" t="n"/>
      <c r="AC15" s="4" t="inlineStr">
        <is>
          <t>AI 초안 (공식 확인 전)</t>
        </is>
      </c>
      <c r="AD15" s="4" t="inlineStr">
        <is>
          <t>노트·농도 공식 확인 / 국내 정가 / 이미지 / 시향 가능 채널</t>
        </is>
      </c>
      <c r="AE15" s="6" t="inlineStr">
        <is>
          <t>낮음 (앱에 표시 안 함)</t>
        </is>
      </c>
    </row>
    <row r="16">
      <c r="A16" s="4" t="inlineStr">
        <is>
          <t>bvlgari-eau-parfumee-the-vert</t>
        </is>
      </c>
      <c r="B16" s="4" t="inlineStr">
        <is>
          <t>Bvlgari</t>
        </is>
      </c>
      <c r="C16" s="5" t="inlineStr">
        <is>
          <t>불가리</t>
        </is>
      </c>
      <c r="D16" s="4" t="inlineStr">
        <is>
          <t>Eau Parfumée au Thé Vert</t>
        </is>
      </c>
      <c r="E16" s="5" t="inlineStr">
        <is>
          <t>오 파푸메 오 떼 베르</t>
        </is>
      </c>
      <c r="F16" s="5" t="inlineStr">
        <is>
          <t>EDC</t>
        </is>
      </c>
      <c r="G16" s="5" t="inlineStr">
        <is>
          <t>Bergamot, Orange, Coriander</t>
        </is>
      </c>
      <c r="H16" s="5" t="inlineStr">
        <is>
          <t>Green Tea, Jasmine</t>
        </is>
      </c>
      <c r="I16" s="5" t="inlineStr">
        <is>
          <t>Musk, Oakmoss, Cedar</t>
        </is>
      </c>
      <c r="J16" s="6" t="n"/>
      <c r="K16" s="5" t="inlineStr">
        <is>
          <t>green</t>
        </is>
      </c>
      <c r="L16" s="5" t="inlineStr">
        <is>
          <t>citrus, musk</t>
        </is>
      </c>
      <c r="M16" s="5" t="inlineStr">
        <is>
          <t>clean, fresh, calm, cool</t>
        </is>
      </c>
      <c r="N16" s="5" t="n"/>
      <c r="O16" s="5" t="inlineStr">
        <is>
          <t>light</t>
        </is>
      </c>
      <c r="P16" s="5" t="inlineStr">
        <is>
          <t>low</t>
        </is>
      </c>
      <c r="Q16" s="5" t="inlineStr">
        <is>
          <t>사계절 · 출근</t>
        </is>
      </c>
      <c r="R16" s="5" t="inlineStr">
        <is>
          <t>녹차를 우린 듯한 맑고 깨끗한 향</t>
        </is>
      </c>
      <c r="S16" s="5" t="inlineStr">
        <is>
          <t>몇 시간 뒤엔 가벼운 머스크가 은은하게 남아요</t>
        </is>
      </c>
      <c r="T16" s="5" t="inlineStr">
        <is>
          <t>차 향이 시트러스 뒤에 얼마나 깔끔하게 나는지 맡아보세요</t>
        </is>
      </c>
      <c r="U16" s="6" t="n"/>
      <c r="V16" s="6" t="n"/>
      <c r="W16" s="6" t="n"/>
      <c r="X16" s="6" t="n"/>
      <c r="Y16" s="4" t="inlineStr">
        <is>
          <t>불가리 향수 백화점</t>
        </is>
      </c>
      <c r="Z16" s="6" t="inlineStr">
        <is>
          <t>백화점</t>
        </is>
      </c>
      <c r="AA16" s="6" t="n"/>
      <c r="AB16" s="6" t="n"/>
      <c r="AC16" s="4" t="inlineStr">
        <is>
          <t>AI 초안 (공식 확인 전)</t>
        </is>
      </c>
      <c r="AD16" s="4" t="inlineStr">
        <is>
          <t>노트·농도 공식 확인 / 국내 정가 / 이미지 / 시향 가능 채널</t>
        </is>
      </c>
      <c r="AE16" s="6" t="inlineStr">
        <is>
          <t>보통 (앱에 표시)</t>
        </is>
      </c>
    </row>
    <row r="17">
      <c r="A17" s="4" t="inlineStr">
        <is>
          <t>dior-sauvage-edt</t>
        </is>
      </c>
      <c r="B17" s="4" t="inlineStr">
        <is>
          <t>Dior</t>
        </is>
      </c>
      <c r="C17" s="5" t="inlineStr">
        <is>
          <t>디올</t>
        </is>
      </c>
      <c r="D17" s="4" t="inlineStr">
        <is>
          <t>Sauvage</t>
        </is>
      </c>
      <c r="E17" s="5" t="inlineStr">
        <is>
          <t>소바쥬</t>
        </is>
      </c>
      <c r="F17" s="5" t="inlineStr">
        <is>
          <t>EDT</t>
        </is>
      </c>
      <c r="G17" s="5" t="inlineStr">
        <is>
          <t>Bergamot, Pepper</t>
        </is>
      </c>
      <c r="H17" s="5" t="inlineStr">
        <is>
          <t>Lavender, Geranium, Vetiver</t>
        </is>
      </c>
      <c r="I17" s="5" t="inlineStr">
        <is>
          <t>Ambroxan, Cedar, Labdanum</t>
        </is>
      </c>
      <c r="J17" s="6" t="n"/>
      <c r="K17" s="5" t="inlineStr">
        <is>
          <t>aromatic</t>
        </is>
      </c>
      <c r="L17" s="5" t="inlineStr">
        <is>
          <t>spicy, woody</t>
        </is>
      </c>
      <c r="M17" s="5" t="inlineStr">
        <is>
          <t>fresh, deep, warm</t>
        </is>
      </c>
      <c r="N17" s="5" t="inlineStr">
        <is>
          <t>spicy</t>
        </is>
      </c>
      <c r="O17" s="5" t="inlineStr">
        <is>
          <t>medium</t>
        </is>
      </c>
      <c r="P17" s="5" t="inlineStr">
        <is>
          <t>high</t>
        </is>
      </c>
      <c r="Q17" s="5" t="inlineStr">
        <is>
          <t>사계절 · 데이트</t>
        </is>
      </c>
      <c r="R17" s="5" t="inlineStr">
        <is>
          <t>상쾌한 시트러스와 후추, 깨끗한 나무 향</t>
        </is>
      </c>
      <c r="S17" s="5" t="inlineStr">
        <is>
          <t>몇 시간 뒤엔 깔끔한 앰버와 나무 향이 남아요</t>
        </is>
      </c>
      <c r="T17" s="5" t="inlineStr">
        <is>
          <t>첫 향의 후추 느낌이 얼마나 강한지 맡아보세요</t>
        </is>
      </c>
      <c r="U17" s="6" t="n"/>
      <c r="V17" s="6" t="n"/>
      <c r="W17" s="6" t="n"/>
      <c r="X17" s="6" t="n"/>
      <c r="Y17" s="4" t="inlineStr">
        <is>
          <t>디올 뷰티 백화점</t>
        </is>
      </c>
      <c r="Z17" s="6" t="inlineStr">
        <is>
          <t>백화점</t>
        </is>
      </c>
      <c r="AA17" s="6" t="n"/>
      <c r="AB17" s="6" t="n"/>
      <c r="AC17" s="4" t="inlineStr">
        <is>
          <t>AI 초안 (공식 확인 전)</t>
        </is>
      </c>
      <c r="AD17" s="4" t="inlineStr">
        <is>
          <t>노트·농도 공식 확인 / 국내 정가 / 이미지 / 시향 가능 채널</t>
        </is>
      </c>
      <c r="AE17" s="6" t="inlineStr">
        <is>
          <t>보통 (앱에 표시)</t>
        </is>
      </c>
    </row>
    <row r="18">
      <c r="A18" s="4" t="inlineStr">
        <is>
          <t>chanel-bleu-de-chanel-edp</t>
        </is>
      </c>
      <c r="B18" s="4" t="inlineStr">
        <is>
          <t>Chanel</t>
        </is>
      </c>
      <c r="C18" s="5" t="inlineStr">
        <is>
          <t>샤넬</t>
        </is>
      </c>
      <c r="D18" s="4" t="inlineStr">
        <is>
          <t>Bleu de Chanel</t>
        </is>
      </c>
      <c r="E18" s="5" t="inlineStr">
        <is>
          <t>블루 드 샤넬</t>
        </is>
      </c>
      <c r="F18" s="5" t="inlineStr">
        <is>
          <t>EDP</t>
        </is>
      </c>
      <c r="G18" s="5" t="inlineStr">
        <is>
          <t>Grapefruit, Lemon, Mint, Pink Pepper</t>
        </is>
      </c>
      <c r="H18" s="5" t="inlineStr">
        <is>
          <t>Ginger, Nutmeg, Jasmine</t>
        </is>
      </c>
      <c r="I18" s="5" t="inlineStr">
        <is>
          <t>Incense, Cedar, Sandalwood, Patchouli</t>
        </is>
      </c>
      <c r="J18" s="6" t="n"/>
      <c r="K18" s="5" t="inlineStr">
        <is>
          <t>aromatic</t>
        </is>
      </c>
      <c r="L18" s="5" t="inlineStr">
        <is>
          <t>woody, citrus</t>
        </is>
      </c>
      <c r="M18" s="5" t="inlineStr">
        <is>
          <t>fresh, elegant, calm, deep</t>
        </is>
      </c>
      <c r="N18" s="5" t="n"/>
      <c r="O18" s="5" t="inlineStr">
        <is>
          <t>medium</t>
        </is>
      </c>
      <c r="P18" s="5" t="inlineStr">
        <is>
          <t>low</t>
        </is>
      </c>
      <c r="Q18" s="5" t="inlineStr">
        <is>
          <t>사계절 · 출근</t>
        </is>
      </c>
      <c r="R18" s="5" t="inlineStr">
        <is>
          <t>상큼한 시트러스에서 깊은 나무 향으로 이어지는 단정한 향</t>
        </is>
      </c>
      <c r="S18" s="5" t="inlineStr">
        <is>
          <t>몇 시간 뒤엔 차분한 우디 향이 남아요</t>
        </is>
      </c>
      <c r="T18" s="5" t="inlineStr">
        <is>
          <t>첫 향의 자몽이 나무 향으로 바뀌는 흐름을 맡아보세요</t>
        </is>
      </c>
      <c r="U18" s="6" t="n"/>
      <c r="V18" s="6" t="n"/>
      <c r="W18" s="6" t="n"/>
      <c r="X18" s="6" t="n"/>
      <c r="Y18" s="4" t="inlineStr">
        <is>
          <t>샤넬 뷰티 백화점</t>
        </is>
      </c>
      <c r="Z18" s="6" t="inlineStr">
        <is>
          <t>백화점</t>
        </is>
      </c>
      <c r="AA18" s="6" t="n"/>
      <c r="AB18" s="6" t="n"/>
      <c r="AC18" s="4" t="inlineStr">
        <is>
          <t>AI 초안 (공식 확인 전)</t>
        </is>
      </c>
      <c r="AD18" s="4" t="inlineStr">
        <is>
          <t>노트·농도 공식 확인 / 국내 정가 / 이미지 / 시향 가능 채널</t>
        </is>
      </c>
      <c r="AE18" s="6" t="inlineStr">
        <is>
          <t>보통 (앱에 표시)</t>
        </is>
      </c>
    </row>
    <row r="19">
      <c r="A19" s="4" t="inlineStr">
        <is>
          <t>jean-paul-gaultier-le-male</t>
        </is>
      </c>
      <c r="B19" s="4" t="inlineStr">
        <is>
          <t>Jean Paul Gaultier</t>
        </is>
      </c>
      <c r="C19" s="5" t="inlineStr">
        <is>
          <t>장 폴 고티에</t>
        </is>
      </c>
      <c r="D19" s="4" t="inlineStr">
        <is>
          <t>Le Male</t>
        </is>
      </c>
      <c r="E19" s="5" t="inlineStr">
        <is>
          <t>르 말</t>
        </is>
      </c>
      <c r="F19" s="5" t="inlineStr">
        <is>
          <t>EDT</t>
        </is>
      </c>
      <c r="G19" s="5" t="inlineStr">
        <is>
          <t>Mint, Lavender, Bergamot, Cardamom</t>
        </is>
      </c>
      <c r="H19" s="5" t="inlineStr">
        <is>
          <t>Cinnamon, Orange Blossom</t>
        </is>
      </c>
      <c r="I19" s="5" t="inlineStr">
        <is>
          <t>Vanilla, Tonka Bean, Sandalwood, Amber</t>
        </is>
      </c>
      <c r="J19" s="6" t="n"/>
      <c r="K19" s="5" t="inlineStr">
        <is>
          <t>aromatic</t>
        </is>
      </c>
      <c r="L19" s="5" t="inlineStr">
        <is>
          <t>gourmand, spicy</t>
        </is>
      </c>
      <c r="M19" s="5" t="inlineStr">
        <is>
          <t>sweet, warm, sensual, cozy</t>
        </is>
      </c>
      <c r="N19" s="5" t="inlineStr">
        <is>
          <t>tooSweet, spicy</t>
        </is>
      </c>
      <c r="O19" s="5" t="inlineStr">
        <is>
          <t>strong</t>
        </is>
      </c>
      <c r="P19" s="5" t="inlineStr">
        <is>
          <t>mid</t>
        </is>
      </c>
      <c r="Q19" s="5" t="inlineStr">
        <is>
          <t>가을·겨울 · 저녁</t>
        </is>
      </c>
      <c r="R19" s="5" t="inlineStr">
        <is>
          <t>라벤더와 바닐라가 만난 달콤하고 따뜻한 향</t>
        </is>
      </c>
      <c r="S19" s="5" t="inlineStr">
        <is>
          <t>몇 시간 뒤엔 포근한 바닐라 향이 오래 남아요</t>
        </is>
      </c>
      <c r="T19" s="5" t="inlineStr">
        <is>
          <t>달콤한 바닐라 느낌이 부담스럽지 않은지 확인해 보세요</t>
        </is>
      </c>
      <c r="U19" s="6" t="n"/>
      <c r="V19" s="6" t="n"/>
      <c r="W19" s="6" t="n"/>
      <c r="X19" s="6" t="n"/>
      <c r="Y19" s="4" t="inlineStr">
        <is>
          <t>장폴고티에 향수 백화점</t>
        </is>
      </c>
      <c r="Z19" s="6" t="inlineStr">
        <is>
          <t>면세점</t>
        </is>
      </c>
      <c r="AA19" s="6" t="n"/>
      <c r="AB19" s="6" t="n"/>
      <c r="AC19" s="4" t="inlineStr">
        <is>
          <t>AI 초안 (공식 확인 전)</t>
        </is>
      </c>
      <c r="AD19" s="4" t="inlineStr">
        <is>
          <t>노트·농도 공식 확인 / 국내 정가 / 이미지 / 시향 가능 채널</t>
        </is>
      </c>
      <c r="AE19" s="6" t="inlineStr">
        <is>
          <t>낮음 (앱에 표시 안 함)</t>
        </is>
      </c>
    </row>
    <row r="20">
      <c r="A20" s="4" t="inlineStr">
        <is>
          <t>viktor-rolf-flowerbomb</t>
        </is>
      </c>
      <c r="B20" s="4" t="inlineStr">
        <is>
          <t>Viktor&amp;Rolf</t>
        </is>
      </c>
      <c r="C20" s="5" t="inlineStr">
        <is>
          <t>빅터 앤 롤프</t>
        </is>
      </c>
      <c r="D20" s="4" t="inlineStr">
        <is>
          <t>Flowerbomb</t>
        </is>
      </c>
      <c r="E20" s="5" t="inlineStr">
        <is>
          <t>플라워밤</t>
        </is>
      </c>
      <c r="F20" s="5" t="inlineStr">
        <is>
          <t>EDP</t>
        </is>
      </c>
      <c r="G20" s="5" t="inlineStr">
        <is>
          <t>Bergamot, Tea</t>
        </is>
      </c>
      <c r="H20" s="5" t="inlineStr">
        <is>
          <t>Jasmine, Orchid, Rose, Freesia</t>
        </is>
      </c>
      <c r="I20" s="5" t="inlineStr">
        <is>
          <t>Patchouli, Musk</t>
        </is>
      </c>
      <c r="J20" s="6" t="n"/>
      <c r="K20" s="5" t="inlineStr">
        <is>
          <t>floral</t>
        </is>
      </c>
      <c r="L20" s="5" t="inlineStr">
        <is>
          <t>whiteFloral</t>
        </is>
      </c>
      <c r="M20" s="5" t="inlineStr">
        <is>
          <t>sweet, lovely, elegant, warm</t>
        </is>
      </c>
      <c r="N20" s="5" t="inlineStr">
        <is>
          <t>heavyFloral, tooSweet, headache</t>
        </is>
      </c>
      <c r="O20" s="5" t="inlineStr">
        <is>
          <t>strong</t>
        </is>
      </c>
      <c r="P20" s="5" t="inlineStr">
        <is>
          <t>high</t>
        </is>
      </c>
      <c r="Q20" s="5" t="inlineStr">
        <is>
          <t>가을·겨울 · 저녁</t>
        </is>
      </c>
      <c r="R20" s="5" t="inlineStr">
        <is>
          <t>꽃다발이 터지는 듯한 화려한 꽃 향</t>
        </is>
      </c>
      <c r="S20" s="5" t="inlineStr">
        <is>
          <t>시간이 지나면 달콤한 패출리와 머스크가 남아요</t>
        </is>
      </c>
      <c r="T20" s="5" t="inlineStr">
        <is>
          <t>꽃 향이 진해서 호불호가 갈릴 수 있으니 한 번에 길게 맡아보세요</t>
        </is>
      </c>
      <c r="U20" s="6" t="n"/>
      <c r="V20" s="6" t="n"/>
      <c r="W20" s="6" t="n"/>
      <c r="X20" s="6" t="n"/>
      <c r="Y20" s="4" t="inlineStr">
        <is>
          <t>빅터앤롤프 플라워밤 백화점</t>
        </is>
      </c>
      <c r="Z20" s="6" t="inlineStr">
        <is>
          <t>백화점</t>
        </is>
      </c>
      <c r="AA20" s="6" t="n"/>
      <c r="AB20" s="6" t="n"/>
      <c r="AC20" s="4" t="inlineStr">
        <is>
          <t>AI 초안 (공식 확인 전)</t>
        </is>
      </c>
      <c r="AD20" s="4" t="inlineStr">
        <is>
          <t>노트·농도 공식 확인 / 국내 정가 / 이미지 / 시향 가능 채널</t>
        </is>
      </c>
      <c r="AE20" s="6" t="inlineStr">
        <is>
          <t>낮음 (앱에 표시 안 함)</t>
        </is>
      </c>
    </row>
    <row r="21">
      <c r="A21" s="4" t="inlineStr">
        <is>
          <t>dior-miss-dior-blooming-bouquet</t>
        </is>
      </c>
      <c r="B21" s="4" t="inlineStr">
        <is>
          <t>Dior</t>
        </is>
      </c>
      <c r="C21" s="5" t="inlineStr">
        <is>
          <t>디올</t>
        </is>
      </c>
      <c r="D21" s="4" t="inlineStr">
        <is>
          <t>Miss Dior Blooming Bouquet</t>
        </is>
      </c>
      <c r="E21" s="5" t="inlineStr">
        <is>
          <t>미스 디올 블루밍 부케</t>
        </is>
      </c>
      <c r="F21" s="5" t="inlineStr">
        <is>
          <t>EDT</t>
        </is>
      </c>
      <c r="G21" s="5" t="inlineStr">
        <is>
          <t>Mandarin, Bergamot</t>
        </is>
      </c>
      <c r="H21" s="5" t="inlineStr">
        <is>
          <t>Peony, Damask Rose</t>
        </is>
      </c>
      <c r="I21" s="5" t="inlineStr">
        <is>
          <t>White Musk</t>
        </is>
      </c>
      <c r="J21" s="6" t="n"/>
      <c r="K21" s="5" t="inlineStr">
        <is>
          <t>floral</t>
        </is>
      </c>
      <c r="L21" s="5" t="inlineStr">
        <is>
          <t>musk, citrus</t>
        </is>
      </c>
      <c r="M21" s="5" t="inlineStr">
        <is>
          <t>soft, lovely, fresh, elegant</t>
        </is>
      </c>
      <c r="N21" s="5" t="n"/>
      <c r="O21" s="5" t="inlineStr">
        <is>
          <t>light</t>
        </is>
      </c>
      <c r="P21" s="5" t="inlineStr">
        <is>
          <t>low</t>
        </is>
      </c>
      <c r="Q21" s="5" t="inlineStr">
        <is>
          <t>봄 · 데이트</t>
        </is>
      </c>
      <c r="R21" s="5" t="inlineStr">
        <is>
          <t>작약과 장미가 싱그럽게 피어나는 가벼운 꽃 향</t>
        </is>
      </c>
      <c r="S21" s="5" t="inlineStr">
        <is>
          <t>몇 시간 뒤엔 보송한 화이트 머스크가 남아요</t>
        </is>
      </c>
      <c r="T21" s="5" t="inlineStr">
        <is>
          <t>꽃 향이 가볍게 퍼지는지 손목에 뿌려 맡아보세요</t>
        </is>
      </c>
      <c r="U21" s="6" t="n"/>
      <c r="V21" s="6" t="n"/>
      <c r="W21" s="6" t="n"/>
      <c r="X21" s="6" t="n"/>
      <c r="Y21" s="4" t="inlineStr">
        <is>
          <t>디올 뷰티 백화점</t>
        </is>
      </c>
      <c r="Z21" s="6" t="inlineStr">
        <is>
          <t>백화점</t>
        </is>
      </c>
      <c r="AA21" s="6" t="n"/>
      <c r="AB21" s="6" t="n"/>
      <c r="AC21" s="4" t="inlineStr">
        <is>
          <t>AI 초안 (공식 확인 전)</t>
        </is>
      </c>
      <c r="AD21" s="4" t="inlineStr">
        <is>
          <t>노트·농도 공식 확인 / 국내 정가 / 이미지 / 시향 가능 채널</t>
        </is>
      </c>
      <c r="AE21" s="6" t="inlineStr">
        <is>
          <t>보통 (앱에 표시)</t>
        </is>
      </c>
    </row>
    <row r="22">
      <c r="A22" s="4" t="inlineStr">
        <is>
          <t>jo-malone-peony-blush-suede</t>
        </is>
      </c>
      <c r="B22" s="4" t="inlineStr">
        <is>
          <t>Jo Malone London</t>
        </is>
      </c>
      <c r="C22" s="5" t="inlineStr">
        <is>
          <t>조 말론 런던</t>
        </is>
      </c>
      <c r="D22" s="4" t="inlineStr">
        <is>
          <t>Peony &amp; Blush Suede</t>
        </is>
      </c>
      <c r="E22" s="5" t="inlineStr">
        <is>
          <t>피오니 앤 블러쉬 스웨이드</t>
        </is>
      </c>
      <c r="F22" s="5" t="inlineStr">
        <is>
          <t>Cologne</t>
        </is>
      </c>
      <c r="G22" s="5" t="inlineStr">
        <is>
          <t>Apple</t>
        </is>
      </c>
      <c r="H22" s="5" t="inlineStr">
        <is>
          <t>Peony, Jasmine, Rose</t>
        </is>
      </c>
      <c r="I22" s="5" t="inlineStr">
        <is>
          <t>Suede</t>
        </is>
      </c>
      <c r="J22" s="6" t="n"/>
      <c r="K22" s="5" t="inlineStr">
        <is>
          <t>floral</t>
        </is>
      </c>
      <c r="L22" s="5" t="inlineStr">
        <is>
          <t>powdery, leather</t>
        </is>
      </c>
      <c r="M22" s="5" t="inlineStr">
        <is>
          <t>soft, lovely, elegant, warm</t>
        </is>
      </c>
      <c r="N22" s="5" t="n"/>
      <c r="O22" s="5" t="inlineStr">
        <is>
          <t>medium</t>
        </is>
      </c>
      <c r="P22" s="5" t="inlineStr">
        <is>
          <t>mid</t>
        </is>
      </c>
      <c r="Q22" s="5" t="inlineStr">
        <is>
          <t>봄·가을 · 데이트</t>
        </is>
      </c>
      <c r="R22" s="5" t="inlineStr">
        <is>
          <t>작약과 장미를 부드러운 스웨이드가 감싸는 향</t>
        </is>
      </c>
      <c r="S22" s="5" t="inlineStr">
        <is>
          <t>시간이 지나면 보들보들한 가죽 느낌이 남아요</t>
        </is>
      </c>
      <c r="T22" s="5" t="inlineStr">
        <is>
          <t>꽃 향 뒤에 스웨이드가 느껴지는지 맡아보세요</t>
        </is>
      </c>
      <c r="U22" s="6" t="n"/>
      <c r="V22" s="6" t="n"/>
      <c r="W22" s="6" t="n"/>
      <c r="X22" s="6" t="n"/>
      <c r="Y22" s="4" t="inlineStr">
        <is>
          <t>조말론 런던 백화점</t>
        </is>
      </c>
      <c r="Z22" s="6" t="inlineStr">
        <is>
          <t>백화점, 브랜드 매장</t>
        </is>
      </c>
      <c r="AA22" s="6" t="n"/>
      <c r="AB22" s="6" t="n"/>
      <c r="AC22" s="4" t="inlineStr">
        <is>
          <t>AI 초안 (공식 확인 전)</t>
        </is>
      </c>
      <c r="AD22" s="4" t="inlineStr">
        <is>
          <t>노트·농도 공식 확인 / 국내 정가 / 이미지 / 시향 가능 채널</t>
        </is>
      </c>
      <c r="AE22" s="6" t="inlineStr">
        <is>
          <t>보통 (앱에 표시)</t>
        </is>
      </c>
    </row>
    <row r="23">
      <c r="A23" s="4" t="inlineStr">
        <is>
          <t>chanel-coco-mademoiselle</t>
        </is>
      </c>
      <c r="B23" s="4" t="inlineStr">
        <is>
          <t>Chanel</t>
        </is>
      </c>
      <c r="C23" s="5" t="inlineStr">
        <is>
          <t>샤넬</t>
        </is>
      </c>
      <c r="D23" s="4" t="inlineStr">
        <is>
          <t>Coco Mademoiselle</t>
        </is>
      </c>
      <c r="E23" s="5" t="inlineStr">
        <is>
          <t>코코 마드모아젤</t>
        </is>
      </c>
      <c r="F23" s="5" t="inlineStr">
        <is>
          <t>EDP</t>
        </is>
      </c>
      <c r="G23" s="5" t="inlineStr">
        <is>
          <t>Orange, Bergamot, Grapefruit</t>
        </is>
      </c>
      <c r="H23" s="5" t="inlineStr">
        <is>
          <t>Jasmine, Rose</t>
        </is>
      </c>
      <c r="I23" s="5" t="inlineStr">
        <is>
          <t>Patchouli, Vetiver, Vanilla, White Musk</t>
        </is>
      </c>
      <c r="J23" s="6" t="n"/>
      <c r="K23" s="5" t="inlineStr">
        <is>
          <t>floral</t>
        </is>
      </c>
      <c r="L23" s="5" t="inlineStr">
        <is>
          <t>citrus, woody</t>
        </is>
      </c>
      <c r="M23" s="5" t="inlineStr">
        <is>
          <t>elegant, warm, lovely, fresh</t>
        </is>
      </c>
      <c r="N23" s="5" t="n"/>
      <c r="O23" s="5" t="inlineStr">
        <is>
          <t>medium</t>
        </is>
      </c>
      <c r="P23" s="5" t="inlineStr">
        <is>
          <t>low</t>
        </is>
      </c>
      <c r="Q23" s="5" t="inlineStr">
        <is>
          <t>사계절 · 데이트</t>
        </is>
      </c>
      <c r="R23" s="5" t="inlineStr">
        <is>
          <t>상큼한 시트러스와 장미가 조화로운 세련된 향</t>
        </is>
      </c>
      <c r="S23" s="5" t="inlineStr">
        <is>
          <t>몇 시간 뒤엔 패출리와 바닐라가 부드럽게 남아요</t>
        </is>
      </c>
      <c r="T23" s="5" t="inlineStr">
        <is>
          <t>시트러스에서 꽃, 나무 향으로 바뀌는 흐름을 맡아보세요</t>
        </is>
      </c>
      <c r="U23" s="6" t="n"/>
      <c r="V23" s="6" t="n"/>
      <c r="W23" s="6" t="n"/>
      <c r="X23" s="6" t="n"/>
      <c r="Y23" s="4" t="inlineStr">
        <is>
          <t>샤넬 뷰티 백화점</t>
        </is>
      </c>
      <c r="Z23" s="6" t="inlineStr">
        <is>
          <t>백화점</t>
        </is>
      </c>
      <c r="AA23" s="6" t="n"/>
      <c r="AB23" s="6" t="n"/>
      <c r="AC23" s="4" t="inlineStr">
        <is>
          <t>AI 초안 (공식 확인 전)</t>
        </is>
      </c>
      <c r="AD23" s="4" t="inlineStr">
        <is>
          <t>노트·농도 공식 확인 / 국내 정가 / 이미지 / 시향 가능 채널</t>
        </is>
      </c>
      <c r="AE23" s="6" t="inlineStr">
        <is>
          <t>보통 (앱에 표시)</t>
        </is>
      </c>
    </row>
    <row r="24">
      <c r="A24" s="4" t="inlineStr">
        <is>
          <t>dior-jadore-edp</t>
        </is>
      </c>
      <c r="B24" s="4" t="inlineStr">
        <is>
          <t>Dior</t>
        </is>
      </c>
      <c r="C24" s="5" t="inlineStr">
        <is>
          <t>디올</t>
        </is>
      </c>
      <c r="D24" s="4" t="inlineStr">
        <is>
          <t>J'adore</t>
        </is>
      </c>
      <c r="E24" s="5" t="inlineStr">
        <is>
          <t>쟈도르</t>
        </is>
      </c>
      <c r="F24" s="5" t="inlineStr">
        <is>
          <t>EDP</t>
        </is>
      </c>
      <c r="G24" s="5" t="inlineStr">
        <is>
          <t>Pear, Bergamot, Magnolia</t>
        </is>
      </c>
      <c r="H24" s="5" t="inlineStr">
        <is>
          <t>Jasmine, Rose</t>
        </is>
      </c>
      <c r="I24" s="5" t="inlineStr">
        <is>
          <t>Musk, Vanilla, Cedar</t>
        </is>
      </c>
      <c r="J24" s="6" t="n"/>
      <c r="K24" s="5" t="inlineStr">
        <is>
          <t>whiteFloral</t>
        </is>
      </c>
      <c r="L24" s="5" t="inlineStr">
        <is>
          <t>floral, fruity</t>
        </is>
      </c>
      <c r="M24" s="5" t="inlineStr">
        <is>
          <t>elegant, lovely, sweet, soft</t>
        </is>
      </c>
      <c r="N24" s="5" t="n"/>
      <c r="O24" s="5" t="inlineStr">
        <is>
          <t>medium</t>
        </is>
      </c>
      <c r="P24" s="5" t="inlineStr">
        <is>
          <t>mid</t>
        </is>
      </c>
      <c r="Q24" s="5" t="inlineStr">
        <is>
          <t>사계절 · 데이트</t>
        </is>
      </c>
      <c r="R24" s="5" t="inlineStr">
        <is>
          <t>과즙 같은 첫 향과 우아한 하얀 꽃 향</t>
        </is>
      </c>
      <c r="S24" s="5" t="inlineStr">
        <is>
          <t>몇 시간 뒤엔 부드러운 머스크와 바닐라가 남아요</t>
        </is>
      </c>
      <c r="T24" s="5" t="inlineStr">
        <is>
          <t>꽃 향이 진한 정도를 손목에서 확인해 보세요</t>
        </is>
      </c>
      <c r="U24" s="6" t="n"/>
      <c r="V24" s="6" t="n"/>
      <c r="W24" s="6" t="n"/>
      <c r="X24" s="6" t="n"/>
      <c r="Y24" s="4" t="inlineStr">
        <is>
          <t>디올 뷰티 백화점</t>
        </is>
      </c>
      <c r="Z24" s="6" t="inlineStr">
        <is>
          <t>백화점</t>
        </is>
      </c>
      <c r="AA24" s="6" t="n"/>
      <c r="AB24" s="6" t="n"/>
      <c r="AC24" s="4" t="inlineStr">
        <is>
          <t>AI 초안 (공식 확인 전)</t>
        </is>
      </c>
      <c r="AD24" s="4" t="inlineStr">
        <is>
          <t>노트·농도 공식 확인 / 국내 정가 / 이미지 / 시향 가능 채널</t>
        </is>
      </c>
      <c r="AE24" s="6" t="inlineStr">
        <is>
          <t>보통 (앱에 표시)</t>
        </is>
      </c>
    </row>
    <row r="25">
      <c r="A25" s="4" t="inlineStr">
        <is>
          <t>gucci-bloom</t>
        </is>
      </c>
      <c r="B25" s="4" t="inlineStr">
        <is>
          <t>Gucci</t>
        </is>
      </c>
      <c r="C25" s="5" t="inlineStr">
        <is>
          <t>구찌</t>
        </is>
      </c>
      <c r="D25" s="4" t="inlineStr">
        <is>
          <t>Bloom</t>
        </is>
      </c>
      <c r="E25" s="5" t="inlineStr">
        <is>
          <t>블룸</t>
        </is>
      </c>
      <c r="F25" s="5" t="inlineStr">
        <is>
          <t>EDP</t>
        </is>
      </c>
      <c r="G25" s="5" t="inlineStr">
        <is>
          <t>Jasmine</t>
        </is>
      </c>
      <c r="H25" s="5" t="inlineStr">
        <is>
          <t>Tuberose</t>
        </is>
      </c>
      <c r="I25" s="5" t="inlineStr">
        <is>
          <t>Rangoon Creeper</t>
        </is>
      </c>
      <c r="J25" s="6" t="n"/>
      <c r="K25" s="5" t="inlineStr">
        <is>
          <t>whiteFloral</t>
        </is>
      </c>
      <c r="L25" s="5" t="inlineStr">
        <is>
          <t>floral</t>
        </is>
      </c>
      <c r="M25" s="5" t="inlineStr">
        <is>
          <t>lovely, soft, elegant</t>
        </is>
      </c>
      <c r="N25" s="5" t="inlineStr">
        <is>
          <t>heavyFloral</t>
        </is>
      </c>
      <c r="O25" s="5" t="inlineStr">
        <is>
          <t>medium</t>
        </is>
      </c>
      <c r="P25" s="5" t="inlineStr">
        <is>
          <t>mid</t>
        </is>
      </c>
      <c r="Q25" s="5" t="inlineStr">
        <is>
          <t>봄·가을 · 데이트</t>
        </is>
      </c>
      <c r="R25" s="5" t="inlineStr">
        <is>
          <t>하얀 꽃이 가득한 정원 같은 진한 꽃 향</t>
        </is>
      </c>
      <c r="S25" s="5" t="inlineStr">
        <is>
          <t>시간이 지나도 꽃 향이 은은하게 이어져요</t>
        </is>
      </c>
      <c r="T25" s="5" t="inlineStr">
        <is>
          <t>꽃 향이 진한 편이라 호불호가 있는지 확인해 보세요</t>
        </is>
      </c>
      <c r="U25" s="6" t="n"/>
      <c r="V25" s="6" t="n"/>
      <c r="W25" s="6" t="n"/>
      <c r="X25" s="6" t="n"/>
      <c r="Y25" s="4" t="inlineStr">
        <is>
          <t>구찌 뷰티 백화점</t>
        </is>
      </c>
      <c r="Z25" s="6" t="inlineStr">
        <is>
          <t>백화점</t>
        </is>
      </c>
      <c r="AA25" s="6" t="n"/>
      <c r="AB25" s="6" t="n"/>
      <c r="AC25" s="4" t="inlineStr">
        <is>
          <t>AI 초안 (공식 확인 전)</t>
        </is>
      </c>
      <c r="AD25" s="4" t="inlineStr">
        <is>
          <t>노트·농도 공식 확인 / 국내 정가 / 이미지 / 시향 가능 채널</t>
        </is>
      </c>
      <c r="AE25" s="6" t="inlineStr">
        <is>
          <t>보통 (앱에 표시)</t>
        </is>
      </c>
    </row>
    <row r="26">
      <c r="A26" s="4" t="inlineStr">
        <is>
          <t>diptyque-do-son</t>
        </is>
      </c>
      <c r="B26" s="4" t="inlineStr">
        <is>
          <t>Diptyque</t>
        </is>
      </c>
      <c r="C26" s="5" t="inlineStr">
        <is>
          <t>딥티크</t>
        </is>
      </c>
      <c r="D26" s="4" t="inlineStr">
        <is>
          <t>Do Son</t>
        </is>
      </c>
      <c r="E26" s="5" t="inlineStr">
        <is>
          <t>도 손</t>
        </is>
      </c>
      <c r="F26" s="5" t="inlineStr">
        <is>
          <t>EDT</t>
        </is>
      </c>
      <c r="G26" s="5" t="inlineStr">
        <is>
          <t>Orange Blossom, Pink Pepper</t>
        </is>
      </c>
      <c r="H26" s="5" t="inlineStr">
        <is>
          <t>Tuberose, Jasmine</t>
        </is>
      </c>
      <c r="I26" s="5" t="inlineStr">
        <is>
          <t>Iris, Musk</t>
        </is>
      </c>
      <c r="J26" s="6" t="n"/>
      <c r="K26" s="5" t="inlineStr">
        <is>
          <t>whiteFloral</t>
        </is>
      </c>
      <c r="L26" s="5" t="inlineStr">
        <is>
          <t>powdery, musk</t>
        </is>
      </c>
      <c r="M26" s="5" t="inlineStr">
        <is>
          <t>elegant, soft, calm, clean</t>
        </is>
      </c>
      <c r="N26" s="5" t="inlineStr">
        <is>
          <t>heavyFloral</t>
        </is>
      </c>
      <c r="O26" s="5" t="inlineStr">
        <is>
          <t>medium</t>
        </is>
      </c>
      <c r="P26" s="5" t="inlineStr">
        <is>
          <t>mid</t>
        </is>
      </c>
      <c r="Q26" s="5" t="inlineStr">
        <is>
          <t>여름 · 저녁</t>
        </is>
      </c>
      <c r="R26" s="5" t="inlineStr">
        <is>
          <t>달콤한 하얀 꽃과 보송한 머스크가 어우러진 향</t>
        </is>
      </c>
      <c r="S26" s="5" t="inlineStr">
        <is>
          <t>시간이 지나면 보송한 분내가 잔잔하게 남아요</t>
        </is>
      </c>
      <c r="T26" s="5" t="inlineStr">
        <is>
          <t>튜베로즈의 진함이 부담스럽지 않은지 맡아보세요</t>
        </is>
      </c>
      <c r="U26" s="6" t="n"/>
      <c r="V26" s="6" t="n"/>
      <c r="W26" s="6" t="n"/>
      <c r="X26" s="6" t="n"/>
      <c r="Y26" s="4" t="inlineStr">
        <is>
          <t>딥티크 백화점</t>
        </is>
      </c>
      <c r="Z26" s="6" t="inlineStr">
        <is>
          <t>브랜드 매장</t>
        </is>
      </c>
      <c r="AA26" s="6" t="n"/>
      <c r="AB26" s="6" t="n"/>
      <c r="AC26" s="4" t="inlineStr">
        <is>
          <t>AI 초안 (공식 확인 전)</t>
        </is>
      </c>
      <c r="AD26" s="4" t="inlineStr">
        <is>
          <t>노트·농도 공식 확인 / 국내 정가 / 이미지 / 시향 가능 채널</t>
        </is>
      </c>
      <c r="AE26" s="6" t="inlineStr">
        <is>
          <t>높음 (앱에 표시)</t>
        </is>
      </c>
    </row>
    <row r="27">
      <c r="A27" s="4" t="inlineStr">
        <is>
          <t>chanel-no5-edp</t>
        </is>
      </c>
      <c r="B27" s="4" t="inlineStr">
        <is>
          <t>Chanel</t>
        </is>
      </c>
      <c r="C27" s="5" t="inlineStr">
        <is>
          <t>샤넬</t>
        </is>
      </c>
      <c r="D27" s="4" t="inlineStr">
        <is>
          <t>N°5</t>
        </is>
      </c>
      <c r="E27" s="5" t="inlineStr">
        <is>
          <t>N°5</t>
        </is>
      </c>
      <c r="F27" s="5" t="inlineStr">
        <is>
          <t>EDP</t>
        </is>
      </c>
      <c r="G27" s="5" t="inlineStr">
        <is>
          <t>Aldehydes, Neroli, Bergamot</t>
        </is>
      </c>
      <c r="H27" s="5" t="inlineStr">
        <is>
          <t>Jasmine, Rose, Ylang-Ylang, Iris</t>
        </is>
      </c>
      <c r="I27" s="5" t="inlineStr">
        <is>
          <t>Sandalwood, Vetiver, Vanilla, Amber</t>
        </is>
      </c>
      <c r="J27" s="6" t="n"/>
      <c r="K27" s="5" t="inlineStr">
        <is>
          <t>whiteFloral</t>
        </is>
      </c>
      <c r="L27" s="5" t="inlineStr">
        <is>
          <t>powdery, musk</t>
        </is>
      </c>
      <c r="M27" s="5" t="inlineStr">
        <is>
          <t>elegant, clean, soft, calm</t>
        </is>
      </c>
      <c r="N27" s="5" t="inlineStr">
        <is>
          <t>powdery, heavyFloral, soapy</t>
        </is>
      </c>
      <c r="O27" s="5" t="inlineStr">
        <is>
          <t>medium</t>
        </is>
      </c>
      <c r="P27" s="5" t="inlineStr">
        <is>
          <t>high</t>
        </is>
      </c>
      <c r="Q27" s="5" t="inlineStr">
        <is>
          <t>가을·겨울 · 격식</t>
        </is>
      </c>
      <c r="R27" s="5" t="inlineStr">
        <is>
          <t>비누처럼 반짝이는 꽃 향의 클래식</t>
        </is>
      </c>
      <c r="S27" s="5" t="inlineStr">
        <is>
          <t>시간이 지나면 보송한 파우더 느낌이 남아요</t>
        </is>
      </c>
      <c r="T27" s="5" t="inlineStr">
        <is>
          <t>첫 향의 알데하이드가 낯설지 않은지 확인해 보세요</t>
        </is>
      </c>
      <c r="U27" s="6" t="n"/>
      <c r="V27" s="6" t="n"/>
      <c r="W27" s="6" t="n"/>
      <c r="X27" s="6" t="n"/>
      <c r="Y27" s="4" t="inlineStr">
        <is>
          <t>샤넬 뷰티 백화점</t>
        </is>
      </c>
      <c r="Z27" s="6" t="inlineStr">
        <is>
          <t>백화점</t>
        </is>
      </c>
      <c r="AA27" s="6" t="n"/>
      <c r="AB27" s="6" t="n"/>
      <c r="AC27" s="4" t="inlineStr">
        <is>
          <t>AI 초안 (공식 확인 전)</t>
        </is>
      </c>
      <c r="AD27" s="4" t="inlineStr">
        <is>
          <t>노트·농도 공식 확인 / 국내 정가 / 이미지 / 시향 가능 채널</t>
        </is>
      </c>
      <c r="AE27" s="6" t="inlineStr">
        <is>
          <t>보통 (앱에 표시)</t>
        </is>
      </c>
    </row>
    <row r="28">
      <c r="A28" s="4" t="inlineStr">
        <is>
          <t>prada-infusion-d-iris</t>
        </is>
      </c>
      <c r="B28" s="4" t="inlineStr">
        <is>
          <t>Prada</t>
        </is>
      </c>
      <c r="C28" s="5" t="inlineStr">
        <is>
          <t>프라다</t>
        </is>
      </c>
      <c r="D28" s="4" t="inlineStr">
        <is>
          <t>Infusion d'Iris</t>
        </is>
      </c>
      <c r="E28" s="5" t="inlineStr">
        <is>
          <t>인퓨전 디리스</t>
        </is>
      </c>
      <c r="F28" s="5" t="inlineStr">
        <is>
          <t>EDP</t>
        </is>
      </c>
      <c r="G28" s="5" t="inlineStr">
        <is>
          <t>Mandarin, Galbanum, Neroli</t>
        </is>
      </c>
      <c r="H28" s="5" t="inlineStr">
        <is>
          <t>Iris</t>
        </is>
      </c>
      <c r="I28" s="5" t="inlineStr">
        <is>
          <t>Benzoin, Vetiver, Cedar, Incense</t>
        </is>
      </c>
      <c r="J28" s="6" t="n"/>
      <c r="K28" s="5" t="inlineStr">
        <is>
          <t>powdery</t>
        </is>
      </c>
      <c r="L28" s="5" t="inlineStr">
        <is>
          <t>green, woody</t>
        </is>
      </c>
      <c r="M28" s="5" t="inlineStr">
        <is>
          <t>calm, soft, clean, elegant</t>
        </is>
      </c>
      <c r="N28" s="5" t="inlineStr">
        <is>
          <t>powdery</t>
        </is>
      </c>
      <c r="O28" s="5" t="inlineStr">
        <is>
          <t>medium</t>
        </is>
      </c>
      <c r="P28" s="5" t="inlineStr">
        <is>
          <t>mid</t>
        </is>
      </c>
      <c r="Q28" s="5" t="inlineStr">
        <is>
          <t>사계절 · 출근</t>
        </is>
      </c>
      <c r="R28" s="5" t="inlineStr">
        <is>
          <t>아이리스의 보송하고 깨끗한 분 향</t>
        </is>
      </c>
      <c r="S28" s="5" t="inlineStr">
        <is>
          <t>시간이 지나면 부드러운 나무와 인센스가 남아요</t>
        </is>
      </c>
      <c r="T28" s="5" t="inlineStr">
        <is>
          <t>보송한 분 느낌이 얼마나 강한지 맡아보세요</t>
        </is>
      </c>
      <c r="U28" s="6" t="n"/>
      <c r="V28" s="6" t="n"/>
      <c r="W28" s="6" t="n"/>
      <c r="X28" s="6" t="n"/>
      <c r="Y28" s="4" t="inlineStr">
        <is>
          <t>프라다 뷰티 백화점</t>
        </is>
      </c>
      <c r="Z28" s="6" t="inlineStr">
        <is>
          <t>백화점</t>
        </is>
      </c>
      <c r="AA28" s="6" t="n"/>
      <c r="AB28" s="6" t="n"/>
      <c r="AC28" s="4" t="inlineStr">
        <is>
          <t>AI 초안 (공식 확인 전)</t>
        </is>
      </c>
      <c r="AD28" s="4" t="inlineStr">
        <is>
          <t>노트·농도 공식 확인 / 국내 정가 / 이미지 / 시향 가능 채널</t>
        </is>
      </c>
      <c r="AE28" s="6" t="inlineStr">
        <is>
          <t>낮음 (앱에 표시 안 함)</t>
        </is>
      </c>
    </row>
    <row r="29">
      <c r="A29" s="4" t="inlineStr">
        <is>
          <t>dior-homme-intense</t>
        </is>
      </c>
      <c r="B29" s="4" t="inlineStr">
        <is>
          <t>Dior</t>
        </is>
      </c>
      <c r="C29" s="5" t="inlineStr">
        <is>
          <t>디올</t>
        </is>
      </c>
      <c r="D29" s="4" t="inlineStr">
        <is>
          <t>Dior Homme Intense</t>
        </is>
      </c>
      <c r="E29" s="5" t="inlineStr">
        <is>
          <t>디올 옴므 앵땅스</t>
        </is>
      </c>
      <c r="F29" s="5" t="inlineStr">
        <is>
          <t>EDP</t>
        </is>
      </c>
      <c r="G29" s="5" t="inlineStr">
        <is>
          <t>Lavender, Pear</t>
        </is>
      </c>
      <c r="H29" s="5" t="inlineStr">
        <is>
          <t>Iris, Ambrette, Cacao</t>
        </is>
      </c>
      <c r="I29" s="5" t="inlineStr">
        <is>
          <t>Cedar, Vetiver</t>
        </is>
      </c>
      <c r="J29" s="6" t="n"/>
      <c r="K29" s="5" t="inlineStr">
        <is>
          <t>powdery</t>
        </is>
      </c>
      <c r="L29" s="5" t="inlineStr">
        <is>
          <t>woody, gourmand</t>
        </is>
      </c>
      <c r="M29" s="5" t="inlineStr">
        <is>
          <t>soft, elegant, cozy, deep, calm</t>
        </is>
      </c>
      <c r="N29" s="5" t="inlineStr">
        <is>
          <t>powdery</t>
        </is>
      </c>
      <c r="O29" s="5" t="inlineStr">
        <is>
          <t>medium</t>
        </is>
      </c>
      <c r="P29" s="5" t="inlineStr">
        <is>
          <t>mid</t>
        </is>
      </c>
      <c r="Q29" s="5" t="inlineStr">
        <is>
          <t>가을·겨울 · 저녁</t>
        </is>
      </c>
      <c r="R29" s="5" t="inlineStr">
        <is>
          <t>아이리스와 카카오가 어우러진 부드럽고 깊은 향</t>
        </is>
      </c>
      <c r="S29" s="5" t="inlineStr">
        <is>
          <t>몇 시간 뒤엔 차분한 나무 향이 남아요</t>
        </is>
      </c>
      <c r="T29" s="5" t="inlineStr">
        <is>
          <t>아이리스의 분 느낌과 카카오의 달콤함을 맡아보세요</t>
        </is>
      </c>
      <c r="U29" s="6" t="n"/>
      <c r="V29" s="6" t="n"/>
      <c r="W29" s="6" t="n"/>
      <c r="X29" s="6" t="n"/>
      <c r="Y29" s="4" t="inlineStr">
        <is>
          <t>디올 뷰티 백화점</t>
        </is>
      </c>
      <c r="Z29" s="6" t="inlineStr">
        <is>
          <t>백화점</t>
        </is>
      </c>
      <c r="AA29" s="6" t="n"/>
      <c r="AB29" s="6" t="n"/>
      <c r="AC29" s="4" t="inlineStr">
        <is>
          <t>AI 초안 (공식 확인 전)</t>
        </is>
      </c>
      <c r="AD29" s="4" t="inlineStr">
        <is>
          <t>노트·농도 공식 확인 / 국내 정가 / 이미지 / 시향 가능 채널</t>
        </is>
      </c>
      <c r="AE29" s="6" t="inlineStr">
        <is>
          <t>보통 (앱에 표시)</t>
        </is>
      </c>
    </row>
    <row r="30">
      <c r="A30" s="4" t="inlineStr">
        <is>
          <t>chloe-edp</t>
        </is>
      </c>
      <c r="B30" s="4" t="inlineStr">
        <is>
          <t>Chloé</t>
        </is>
      </c>
      <c r="C30" s="5" t="inlineStr">
        <is>
          <t>끌로에</t>
        </is>
      </c>
      <c r="D30" s="4" t="inlineStr">
        <is>
          <t>Chloé Eau de Parfum</t>
        </is>
      </c>
      <c r="E30" s="5" t="inlineStr">
        <is>
          <t>끌로에 오 드 퍼퓸</t>
        </is>
      </c>
      <c r="F30" s="5" t="inlineStr">
        <is>
          <t>EDP</t>
        </is>
      </c>
      <c r="G30" s="5" t="inlineStr">
        <is>
          <t>Peony, Lychee, Freesia</t>
        </is>
      </c>
      <c r="H30" s="5" t="inlineStr">
        <is>
          <t>Rose, Lily of the Valley, Magnolia</t>
        </is>
      </c>
      <c r="I30" s="5" t="inlineStr">
        <is>
          <t>Cedar, Amber</t>
        </is>
      </c>
      <c r="J30" s="6" t="n"/>
      <c r="K30" s="5" t="inlineStr">
        <is>
          <t>powdery</t>
        </is>
      </c>
      <c r="L30" s="5" t="inlineStr">
        <is>
          <t>floral</t>
        </is>
      </c>
      <c r="M30" s="5" t="inlineStr">
        <is>
          <t>soft, elegant, lovely, clean, calm</t>
        </is>
      </c>
      <c r="N30" s="5" t="inlineStr">
        <is>
          <t>powdery</t>
        </is>
      </c>
      <c r="O30" s="5" t="inlineStr">
        <is>
          <t>medium</t>
        </is>
      </c>
      <c r="P30" s="5" t="inlineStr">
        <is>
          <t>low</t>
        </is>
      </c>
      <c r="Q30" s="5" t="inlineStr">
        <is>
          <t>봄·가을 · 데일리</t>
        </is>
      </c>
      <c r="R30" s="5" t="inlineStr">
        <is>
          <t>보송한 장미와 작약의 부드러운 꽃 향</t>
        </is>
      </c>
      <c r="S30" s="5" t="inlineStr">
        <is>
          <t>몇 시간 뒤엔 은은한 장미와 나무 향이 남아요</t>
        </is>
      </c>
      <c r="T30" s="5" t="inlineStr">
        <is>
          <t>장미 향이 분 향처럼 느껴지는지 맡아보세요</t>
        </is>
      </c>
      <c r="U30" s="6" t="n"/>
      <c r="V30" s="6" t="n"/>
      <c r="W30" s="6" t="n"/>
      <c r="X30" s="6" t="n"/>
      <c r="Y30" s="4" t="inlineStr">
        <is>
          <t>끌로에 향수 백화점</t>
        </is>
      </c>
      <c r="Z30" s="6" t="inlineStr">
        <is>
          <t>[확인 필요]</t>
        </is>
      </c>
      <c r="AA30" s="6" t="n"/>
      <c r="AB30" s="6" t="n"/>
      <c r="AC30" s="4" t="inlineStr">
        <is>
          <t>AI 초안 (공식 확인 전)</t>
        </is>
      </c>
      <c r="AD30" s="4" t="inlineStr">
        <is>
          <t>노트·농도 공식 확인 / 국내 정가 / 이미지 / 시향 가능 채널</t>
        </is>
      </c>
      <c r="AE30" s="6" t="inlineStr">
        <is>
          <t>미확인</t>
        </is>
      </c>
    </row>
    <row r="31">
      <c r="A31" s="4" t="inlineStr">
        <is>
          <t>byredo-blanche</t>
        </is>
      </c>
      <c r="B31" s="4" t="inlineStr">
        <is>
          <t>Byredo</t>
        </is>
      </c>
      <c r="C31" s="5" t="inlineStr">
        <is>
          <t>바이레도</t>
        </is>
      </c>
      <c r="D31" s="4" t="inlineStr">
        <is>
          <t>Blanche</t>
        </is>
      </c>
      <c r="E31" s="5" t="inlineStr">
        <is>
          <t>블랑쉬</t>
        </is>
      </c>
      <c r="F31" s="5" t="inlineStr">
        <is>
          <t>EDP</t>
        </is>
      </c>
      <c r="G31" s="5" t="inlineStr">
        <is>
          <t>Aldehydes, Pink Pepper</t>
        </is>
      </c>
      <c r="H31" s="5" t="inlineStr">
        <is>
          <t>White Rose, Peony, Violet</t>
        </is>
      </c>
      <c r="I31" s="5" t="inlineStr">
        <is>
          <t>Musk, Sandalwood</t>
        </is>
      </c>
      <c r="J31" s="6" t="n"/>
      <c r="K31" s="5" t="inlineStr">
        <is>
          <t>musk</t>
        </is>
      </c>
      <c r="L31" s="5" t="inlineStr">
        <is>
          <t>floral</t>
        </is>
      </c>
      <c r="M31" s="5" t="inlineStr">
        <is>
          <t>clean, soft, calm</t>
        </is>
      </c>
      <c r="N31" s="5" t="inlineStr">
        <is>
          <t>soapy</t>
        </is>
      </c>
      <c r="O31" s="5" t="inlineStr">
        <is>
          <t>light</t>
        </is>
      </c>
      <c r="P31" s="5" t="inlineStr">
        <is>
          <t>low</t>
        </is>
      </c>
      <c r="Q31" s="5" t="inlineStr">
        <is>
          <t>사계절 · 데일리</t>
        </is>
      </c>
      <c r="R31" s="5" t="inlineStr">
        <is>
          <t>갓 빨아 말린 하얀 시트 같은 깨끗한 향</t>
        </is>
      </c>
      <c r="S31" s="5" t="inlineStr">
        <is>
          <t>몇 시간 뒤엔 보송한 머스크가 피부에 남아요</t>
        </is>
      </c>
      <c r="T31" s="5" t="inlineStr">
        <is>
          <t>깨끗한 비누 느낌이 오래가는지 확인해 보세요</t>
        </is>
      </c>
      <c r="U31" s="6" t="n">
        <v>50</v>
      </c>
      <c r="V31" s="10" t="n">
        <v>305000</v>
      </c>
      <c r="W31" s="6" t="inlineStr">
        <is>
          <t>2026-10-07</t>
        </is>
      </c>
      <c r="X31" s="6" t="inlineStr">
        <is>
          <t>https://www.byredo.com/ko_kr/p/blanche-eau-de-parfum</t>
        </is>
      </c>
      <c r="Y31" s="4" t="inlineStr">
        <is>
          <t>바이레도 백화점</t>
        </is>
      </c>
      <c r="Z31" s="6" t="inlineStr">
        <is>
          <t>[확인 필요]</t>
        </is>
      </c>
      <c r="AA31" s="6" t="inlineStr">
        <is>
          <t>byredo-blanche.jpg</t>
        </is>
      </c>
      <c r="AB31" s="6" t="inlineStr">
        <is>
          <t>https://www.byredo.com/ko_kr/p/blanche-eau-de-parfum</t>
        </is>
      </c>
      <c r="AC31" s="4" t="inlineStr">
        <is>
          <t>AI 초안 (공식 확인 전)</t>
        </is>
      </c>
      <c r="AD31" s="4" t="inlineStr">
        <is>
          <t>노트·농도 공식 확인 / 시향 가능 채널 (가격·이미지는 공식 페이지에서 반영됨)</t>
        </is>
      </c>
      <c r="AE31" s="6" t="inlineStr">
        <is>
          <t>미확인</t>
        </is>
      </c>
    </row>
    <row r="32">
      <c r="A32" s="4" t="inlineStr">
        <is>
          <t>maison-margiela-replica-lazy-sunday-morning</t>
        </is>
      </c>
      <c r="B32" s="4" t="inlineStr">
        <is>
          <t>Maison Margiela</t>
        </is>
      </c>
      <c r="C32" s="5" t="inlineStr">
        <is>
          <t>메종 마르지엘라</t>
        </is>
      </c>
      <c r="D32" s="4" t="inlineStr">
        <is>
          <t>Replica Lazy Sunday Morning</t>
        </is>
      </c>
      <c r="E32" s="5" t="inlineStr">
        <is>
          <t>레플리카 레이지 선데이 모닝</t>
        </is>
      </c>
      <c r="F32" s="5" t="inlineStr">
        <is>
          <t>EDT</t>
        </is>
      </c>
      <c r="G32" s="5" t="inlineStr">
        <is>
          <t>Pear, Lily of the Valley</t>
        </is>
      </c>
      <c r="H32" s="5" t="inlineStr">
        <is>
          <t>Rose, Iris</t>
        </is>
      </c>
      <c r="I32" s="5" t="inlineStr">
        <is>
          <t>White Musk, Patchouli</t>
        </is>
      </c>
      <c r="J32" s="6" t="n"/>
      <c r="K32" s="5" t="inlineStr">
        <is>
          <t>musk</t>
        </is>
      </c>
      <c r="L32" s="5" t="inlineStr">
        <is>
          <t>powdery, fruity</t>
        </is>
      </c>
      <c r="M32" s="5" t="inlineStr">
        <is>
          <t>clean, soft, cozy, calm</t>
        </is>
      </c>
      <c r="N32" s="5" t="inlineStr">
        <is>
          <t>soapy</t>
        </is>
      </c>
      <c r="O32" s="5" t="inlineStr">
        <is>
          <t>light</t>
        </is>
      </c>
      <c r="P32" s="5" t="inlineStr">
        <is>
          <t>low</t>
        </is>
      </c>
      <c r="Q32" s="5" t="inlineStr">
        <is>
          <t>사계절 · 휴일</t>
        </is>
      </c>
      <c r="R32" s="5" t="inlineStr">
        <is>
          <t>햇살 드는 침대 시트 같은 포근하고 깨끗한 향</t>
        </is>
      </c>
      <c r="S32" s="5" t="inlineStr">
        <is>
          <t>시간이 지나면 보송한 머스크가 오래 남아요</t>
        </is>
      </c>
      <c r="T32" s="5" t="inlineStr">
        <is>
          <t>첫 향의 배와 은방울꽃이 머스크로 이어지는지 맡아보세요</t>
        </is>
      </c>
      <c r="U32" s="6" t="n">
        <v>100</v>
      </c>
      <c r="V32" s="10" t="n">
        <v>240000</v>
      </c>
      <c r="W32" s="6" t="inlineStr">
        <is>
          <t>2026-10-07</t>
        </is>
      </c>
      <c r="X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Y32" s="4" t="inlineStr">
        <is>
          <t>메종 마르지엘라 레플리카 백화점</t>
        </is>
      </c>
      <c r="Z32" s="6" t="inlineStr">
        <is>
          <t>백화점</t>
        </is>
      </c>
      <c r="AA32" s="6" t="inlineStr">
        <is>
          <t>maison-margiela-replica-lazy-sunday-morning.jpg</t>
        </is>
      </c>
      <c r="AB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AC32" s="4" t="inlineStr">
        <is>
          <t>AI 초안 (공식 확인 전)</t>
        </is>
      </c>
      <c r="AD32" s="4" t="inlineStr">
        <is>
          <t>노트·농도 공식 확인 / 시향 가능 채널 (가격·이미지는 공식 페이지에서 반영됨)</t>
        </is>
      </c>
      <c r="AE32" s="6" t="inlineStr">
        <is>
          <t>보통 (앱에 표시)</t>
        </is>
      </c>
    </row>
    <row r="33">
      <c r="A33" s="4" t="inlineStr">
        <is>
          <t>narciso-rodriguez-for-her-edp</t>
        </is>
      </c>
      <c r="B33" s="4" t="inlineStr">
        <is>
          <t>Narciso Rodriguez</t>
        </is>
      </c>
      <c r="C33" s="5" t="inlineStr">
        <is>
          <t>나르시소 로드리게즈</t>
        </is>
      </c>
      <c r="D33" s="4" t="inlineStr">
        <is>
          <t>For Her Eau de Parfum</t>
        </is>
      </c>
      <c r="E33" s="5" t="inlineStr">
        <is>
          <t>포 허 오 드 퍼퓸</t>
        </is>
      </c>
      <c r="F33" s="5" t="inlineStr">
        <is>
          <t>EDP</t>
        </is>
      </c>
      <c r="G33" s="5" t="inlineStr">
        <is>
          <t>Orange Blossom, Osmanthus</t>
        </is>
      </c>
      <c r="H33" s="5" t="inlineStr">
        <is>
          <t>Rose</t>
        </is>
      </c>
      <c r="I33" s="5" t="inlineStr">
        <is>
          <t>Musk, Amber, Patchouli</t>
        </is>
      </c>
      <c r="J33" s="6" t="n"/>
      <c r="K33" s="5" t="inlineStr">
        <is>
          <t>musk</t>
        </is>
      </c>
      <c r="L33" s="5" t="inlineStr">
        <is>
          <t>floral, amber</t>
        </is>
      </c>
      <c r="M33" s="5" t="inlineStr">
        <is>
          <t>sensual, warm, elegant, cozy</t>
        </is>
      </c>
      <c r="N33" s="5" t="n"/>
      <c r="O33" s="5" t="inlineStr">
        <is>
          <t>medium</t>
        </is>
      </c>
      <c r="P33" s="5" t="inlineStr">
        <is>
          <t>mid</t>
        </is>
      </c>
      <c r="Q33" s="5" t="inlineStr">
        <is>
          <t>사계절 · 데이트</t>
        </is>
      </c>
      <c r="R33" s="5" t="inlineStr">
        <is>
          <t>꽃 향이 살결 같은 머스크에 스며든 향</t>
        </is>
      </c>
      <c r="S33" s="5" t="inlineStr">
        <is>
          <t>몇 시간 뒤엔 따뜻한 머스크가 오래 남아요</t>
        </is>
      </c>
      <c r="T33" s="5" t="inlineStr">
        <is>
          <t>머스크가 포근한지 답답한지 손목에서 확인해 보세요</t>
        </is>
      </c>
      <c r="U33" s="6" t="n"/>
      <c r="V33" s="6" t="n"/>
      <c r="W33" s="6" t="n"/>
      <c r="X33" s="6" t="n"/>
      <c r="Y33" s="4" t="inlineStr">
        <is>
          <t>나르시소 로드리게즈 백화점</t>
        </is>
      </c>
      <c r="Z33" s="6" t="inlineStr">
        <is>
          <t>올리브영</t>
        </is>
      </c>
      <c r="AA33" s="6" t="n"/>
      <c r="AB33" s="6" t="n"/>
      <c r="AC33" s="4" t="inlineStr">
        <is>
          <t>AI 초안 (공식 확인 전)</t>
        </is>
      </c>
      <c r="AD33" s="4" t="inlineStr">
        <is>
          <t>노트·농도 공식 확인 / 국내 정가 / 이미지 / 시향 가능 채널</t>
        </is>
      </c>
      <c r="AE33" s="6" t="inlineStr">
        <is>
          <t>보통 (앱에 표시)</t>
        </is>
      </c>
    </row>
    <row r="34">
      <c r="A34" s="4" t="inlineStr">
        <is>
          <t>diptyque-fleur-de-peau</t>
        </is>
      </c>
      <c r="B34" s="4" t="inlineStr">
        <is>
          <t>Diptyque</t>
        </is>
      </c>
      <c r="C34" s="5" t="inlineStr">
        <is>
          <t>딥티크</t>
        </is>
      </c>
      <c r="D34" s="4" t="inlineStr">
        <is>
          <t>Fleur de Peau</t>
        </is>
      </c>
      <c r="E34" s="5" t="inlineStr">
        <is>
          <t>플뢰르 드 뽀</t>
        </is>
      </c>
      <c r="F34" s="5" t="inlineStr">
        <is>
          <t>EDP</t>
        </is>
      </c>
      <c r="G34" s="5" t="inlineStr">
        <is>
          <t>Bergamot, Pink Pepper</t>
        </is>
      </c>
      <c r="H34" s="5" t="inlineStr">
        <is>
          <t>Iris, Rose</t>
        </is>
      </c>
      <c r="I34" s="5" t="inlineStr">
        <is>
          <t>Ambrette, Musk</t>
        </is>
      </c>
      <c r="J34" s="6" t="n"/>
      <c r="K34" s="5" t="inlineStr">
        <is>
          <t>musk</t>
        </is>
      </c>
      <c r="L34" s="5" t="inlineStr">
        <is>
          <t>powdery</t>
        </is>
      </c>
      <c r="M34" s="5" t="inlineStr">
        <is>
          <t>soft, clean, cozy, calm</t>
        </is>
      </c>
      <c r="N34" s="5" t="inlineStr">
        <is>
          <t>powdery, soapy</t>
        </is>
      </c>
      <c r="O34" s="5" t="inlineStr">
        <is>
          <t>medium</t>
        </is>
      </c>
      <c r="P34" s="5" t="inlineStr">
        <is>
          <t>mid</t>
        </is>
      </c>
      <c r="Q34" s="5" t="inlineStr">
        <is>
          <t>사계절 · 저녁</t>
        </is>
      </c>
      <c r="R34" s="5" t="inlineStr">
        <is>
          <t>맨살의 온기 같은 보송한 머스크</t>
        </is>
      </c>
      <c r="S34" s="5" t="inlineStr">
        <is>
          <t>시간이 지나면 부드러운 피부 향처럼 남아요</t>
        </is>
      </c>
      <c r="T34" s="5" t="inlineStr">
        <is>
          <t>머스크가 깨끗하게 느껴지는지 맡아보세요</t>
        </is>
      </c>
      <c r="U34" s="6" t="n"/>
      <c r="V34" s="6" t="n"/>
      <c r="W34" s="6" t="n"/>
      <c r="X34" s="6" t="n"/>
      <c r="Y34" s="4" t="inlineStr">
        <is>
          <t>딥티크 백화점</t>
        </is>
      </c>
      <c r="Z34" s="6" t="inlineStr">
        <is>
          <t>브랜드 매장</t>
        </is>
      </c>
      <c r="AA34" s="6" t="n"/>
      <c r="AB34" s="6" t="n"/>
      <c r="AC34" s="4" t="inlineStr">
        <is>
          <t>AI 초안 (공식 확인 전)</t>
        </is>
      </c>
      <c r="AD34" s="4" t="inlineStr">
        <is>
          <t>노트·농도 공식 확인 / 국내 정가 / 이미지 / 시향 가능 채널</t>
        </is>
      </c>
      <c r="AE34" s="6" t="inlineStr">
        <is>
          <t>높음 (앱에 표시)</t>
        </is>
      </c>
    </row>
    <row r="35">
      <c r="A35" s="4" t="inlineStr">
        <is>
          <t>maison-margiela-replica-beach-walk</t>
        </is>
      </c>
      <c r="B35" s="4" t="inlineStr">
        <is>
          <t>Maison Margiela</t>
        </is>
      </c>
      <c r="C35" s="5" t="inlineStr">
        <is>
          <t>메종 마르지엘라</t>
        </is>
      </c>
      <c r="D35" s="4" t="inlineStr">
        <is>
          <t>Replica Beach Walk</t>
        </is>
      </c>
      <c r="E35" s="5" t="inlineStr">
        <is>
          <t>레플리카 비치 워크</t>
        </is>
      </c>
      <c r="F35" s="5" t="inlineStr">
        <is>
          <t>EDT</t>
        </is>
      </c>
      <c r="G35" s="5" t="inlineStr">
        <is>
          <t>Bergamot, Lemon, Pink Pepper</t>
        </is>
      </c>
      <c r="H35" s="5" t="inlineStr">
        <is>
          <t>Coconut Milk, Heliotrope, Ylang-Ylang</t>
        </is>
      </c>
      <c r="I35" s="5" t="inlineStr">
        <is>
          <t>Musk, Cedar, Benzoin</t>
        </is>
      </c>
      <c r="J35" s="6" t="n"/>
      <c r="K35" s="5" t="inlineStr">
        <is>
          <t>musk</t>
        </is>
      </c>
      <c r="L35" s="5" t="inlineStr">
        <is>
          <t>gourmand, citrus</t>
        </is>
      </c>
      <c r="M35" s="5" t="inlineStr">
        <is>
          <t>fresh, clean, warm, sweet, soft</t>
        </is>
      </c>
      <c r="N35" s="5" t="n"/>
      <c r="O35" s="5" t="inlineStr">
        <is>
          <t>light</t>
        </is>
      </c>
      <c r="P35" s="5" t="inlineStr">
        <is>
          <t>low</t>
        </is>
      </c>
      <c r="Q35" s="5" t="inlineStr">
        <is>
          <t>여름 · 휴가</t>
        </is>
      </c>
      <c r="R35" s="5" t="inlineStr">
        <is>
          <t>선크림과 코코넛이 어우러진 휴양지 같은 향</t>
        </is>
      </c>
      <c r="S35" s="5" t="inlineStr">
        <is>
          <t>시간이 지나면 부드럽고 달콤한 머스크가 남아요</t>
        </is>
      </c>
      <c r="T35" s="5" t="inlineStr">
        <is>
          <t>첫 향의 시트러스가 코코넛으로 바뀌는 순간을 맡아보세요</t>
        </is>
      </c>
      <c r="U35" s="6" t="n"/>
      <c r="V35" s="6" t="n"/>
      <c r="W35" s="6" t="n"/>
      <c r="X35" s="6" t="n"/>
      <c r="Y35" s="4" t="inlineStr">
        <is>
          <t>메종 마르지엘라 레플리카 백화점</t>
        </is>
      </c>
      <c r="Z35" s="6" t="inlineStr">
        <is>
          <t>백화점</t>
        </is>
      </c>
      <c r="AA35" s="6" t="n"/>
      <c r="AB35" s="6" t="n"/>
      <c r="AC35" s="4" t="inlineStr">
        <is>
          <t>AI 초안 (공식 확인 전)</t>
        </is>
      </c>
      <c r="AD35" s="4" t="inlineStr">
        <is>
          <t>노트·농도 공식 확인 / 국내 정가 / 이미지 / 시향 가능 채널</t>
        </is>
      </c>
      <c r="AE35" s="6" t="inlineStr">
        <is>
          <t>보통 (앱에 표시)</t>
        </is>
      </c>
    </row>
    <row r="36">
      <c r="A36" s="4" t="inlineStr">
        <is>
          <t>hermes-terre-d-hermes-edt</t>
        </is>
      </c>
      <c r="B36" s="4" t="inlineStr">
        <is>
          <t>Hermès</t>
        </is>
      </c>
      <c r="C36" s="5" t="inlineStr">
        <is>
          <t>에르메스</t>
        </is>
      </c>
      <c r="D36" s="4" t="inlineStr">
        <is>
          <t>Terre d'Hermès</t>
        </is>
      </c>
      <c r="E36" s="5" t="inlineStr">
        <is>
          <t>테르 데르메스</t>
        </is>
      </c>
      <c r="F36" s="5" t="inlineStr">
        <is>
          <t>EDT</t>
        </is>
      </c>
      <c r="G36" s="5" t="inlineStr">
        <is>
          <t>Orange, Grapefruit</t>
        </is>
      </c>
      <c r="H36" s="5" t="inlineStr">
        <is>
          <t>Pepper, Geranium, Flint</t>
        </is>
      </c>
      <c r="I36" s="5" t="inlineStr">
        <is>
          <t>Vetiver, Patchouli, Benzoin, Cedar</t>
        </is>
      </c>
      <c r="J36" s="6" t="n"/>
      <c r="K36" s="5" t="inlineStr">
        <is>
          <t>spicy</t>
        </is>
      </c>
      <c r="L36" s="5" t="inlineStr">
        <is>
          <t>woody, citrus</t>
        </is>
      </c>
      <c r="M36" s="5" t="inlineStr">
        <is>
          <t>deep, warm, calm, fresh</t>
        </is>
      </c>
      <c r="N36" s="5" t="inlineStr">
        <is>
          <t>spicy</t>
        </is>
      </c>
      <c r="O36" s="5" t="inlineStr">
        <is>
          <t>medium</t>
        </is>
      </c>
      <c r="P36" s="5" t="inlineStr">
        <is>
          <t>mid</t>
        </is>
      </c>
      <c r="Q36" s="5" t="inlineStr">
        <is>
          <t>사계절 · 출근</t>
        </is>
      </c>
      <c r="R36" s="5" t="inlineStr">
        <is>
          <t>오렌지와 후추, 흙냄새 나는 나무 향이 어우러진 향</t>
        </is>
      </c>
      <c r="S36" s="5" t="inlineStr">
        <is>
          <t>몇 시간 뒤엔 차분한 베티버와 나무 향이 남아요</t>
        </is>
      </c>
      <c r="T36" s="5" t="inlineStr">
        <is>
          <t>첫 향의 후추와 광물 느낌이 낯설지 않은지 확인해 보세요</t>
        </is>
      </c>
      <c r="U36" s="6" t="n"/>
      <c r="V36" s="6" t="n"/>
      <c r="W36" s="6" t="n"/>
      <c r="X36" s="6" t="n"/>
      <c r="Y36" s="4" t="inlineStr">
        <is>
          <t>에르메스 뷰티 백화점</t>
        </is>
      </c>
      <c r="Z36" s="6" t="inlineStr">
        <is>
          <t>면세점</t>
        </is>
      </c>
      <c r="AA36" s="6" t="n"/>
      <c r="AB36" s="6" t="n"/>
      <c r="AC36" s="4" t="inlineStr">
        <is>
          <t>AI 초안 (공식 확인 전)</t>
        </is>
      </c>
      <c r="AD36" s="4" t="inlineStr">
        <is>
          <t>노트·농도 공식 확인 / 국내 정가 / 이미지 / 시향 가능 채널</t>
        </is>
      </c>
      <c r="AE36" s="6" t="inlineStr">
        <is>
          <t>낮음 (앱에 표시 안 함)</t>
        </is>
      </c>
    </row>
    <row r="37">
      <c r="A37" s="4" t="inlineStr">
        <is>
          <t>hermes-twilly-d-hermes</t>
        </is>
      </c>
      <c r="B37" s="4" t="inlineStr">
        <is>
          <t>Hermès</t>
        </is>
      </c>
      <c r="C37" s="5" t="inlineStr">
        <is>
          <t>에르메스</t>
        </is>
      </c>
      <c r="D37" s="4" t="inlineStr">
        <is>
          <t>Twilly d'Hermès</t>
        </is>
      </c>
      <c r="E37" s="5" t="inlineStr">
        <is>
          <t>트윌리 데르메스</t>
        </is>
      </c>
      <c r="F37" s="5" t="inlineStr">
        <is>
          <t>EDP</t>
        </is>
      </c>
      <c r="G37" s="5" t="inlineStr">
        <is>
          <t>Ginger</t>
        </is>
      </c>
      <c r="H37" s="5" t="inlineStr">
        <is>
          <t>Tuberose</t>
        </is>
      </c>
      <c r="I37" s="5" t="inlineStr">
        <is>
          <t>Sandalwood</t>
        </is>
      </c>
      <c r="J37" s="6" t="n"/>
      <c r="K37" s="5" t="inlineStr">
        <is>
          <t>spicy</t>
        </is>
      </c>
      <c r="L37" s="5" t="inlineStr">
        <is>
          <t>whiteFloral, woody</t>
        </is>
      </c>
      <c r="M37" s="5" t="inlineStr">
        <is>
          <t>fresh, elegant, warm, lovely</t>
        </is>
      </c>
      <c r="N37" s="5" t="inlineStr">
        <is>
          <t>spicy</t>
        </is>
      </c>
      <c r="O37" s="5" t="inlineStr">
        <is>
          <t>medium</t>
        </is>
      </c>
      <c r="P37" s="5" t="inlineStr">
        <is>
          <t>mid</t>
        </is>
      </c>
      <c r="Q37" s="5" t="inlineStr">
        <is>
          <t>사계절 · 데일리</t>
        </is>
      </c>
      <c r="R37" s="5" t="inlineStr">
        <is>
          <t>톡 쏘는 생강과 하얀 꽃이 만난 발랄한 향</t>
        </is>
      </c>
      <c r="S37" s="5" t="inlineStr">
        <is>
          <t>시간이 지나면 부드러운 샌달우드가 남아요</t>
        </is>
      </c>
      <c r="T37" s="5" t="inlineStr">
        <is>
          <t>생강의 알싸함과 꽃 향의 조화를 맡아보세요</t>
        </is>
      </c>
      <c r="U37" s="6" t="n"/>
      <c r="V37" s="6" t="n"/>
      <c r="W37" s="6" t="n"/>
      <c r="X37" s="6" t="n"/>
      <c r="Y37" s="4" t="inlineStr">
        <is>
          <t>에르메스 뷰티 백화점</t>
        </is>
      </c>
      <c r="Z37" s="6" t="inlineStr">
        <is>
          <t>면세점</t>
        </is>
      </c>
      <c r="AA37" s="6" t="n"/>
      <c r="AB37" s="6" t="n"/>
      <c r="AC37" s="4" t="inlineStr">
        <is>
          <t>AI 초안 (공식 확인 전)</t>
        </is>
      </c>
      <c r="AD37" s="4" t="inlineStr">
        <is>
          <t>노트·농도 공식 확인 / 국내 정가 / 이미지 / 시향 가능 채널</t>
        </is>
      </c>
      <c r="AE37" s="6" t="inlineStr">
        <is>
          <t>낮음 (앱에 표시 안 함)</t>
        </is>
      </c>
    </row>
    <row r="38">
      <c r="A38" s="4" t="inlineStr">
        <is>
          <t>le-labo-santal-33</t>
        </is>
      </c>
      <c r="B38" s="4" t="inlineStr">
        <is>
          <t>Le Labo</t>
        </is>
      </c>
      <c r="C38" s="5" t="inlineStr">
        <is>
          <t>르 라보</t>
        </is>
      </c>
      <c r="D38" s="4" t="inlineStr">
        <is>
          <t>Santal 33</t>
        </is>
      </c>
      <c r="E38" s="5" t="inlineStr">
        <is>
          <t>상탈 33</t>
        </is>
      </c>
      <c r="F38" s="5" t="inlineStr">
        <is>
          <t>EDP</t>
        </is>
      </c>
      <c r="G38" s="5" t="inlineStr">
        <is>
          <t>Cardamom, Violet</t>
        </is>
      </c>
      <c r="H38" s="5" t="inlineStr">
        <is>
          <t>Iris, Papyrus</t>
        </is>
      </c>
      <c r="I38" s="5" t="inlineStr">
        <is>
          <t>Sandalwood, Cedar, Leather, Ambroxan</t>
        </is>
      </c>
      <c r="J38" s="6" t="n"/>
      <c r="K38" s="5" t="inlineStr">
        <is>
          <t>woody</t>
        </is>
      </c>
      <c r="L38" s="5" t="inlineStr">
        <is>
          <t>leather, spicy</t>
        </is>
      </c>
      <c r="M38" s="5" t="inlineStr">
        <is>
          <t>warm, deep, calm, cozy</t>
        </is>
      </c>
      <c r="N38" s="5" t="inlineStr">
        <is>
          <t>smoky</t>
        </is>
      </c>
      <c r="O38" s="5" t="inlineStr">
        <is>
          <t>strong</t>
        </is>
      </c>
      <c r="P38" s="5" t="inlineStr">
        <is>
          <t>high</t>
        </is>
      </c>
      <c r="Q38" s="5" t="inlineStr">
        <is>
          <t>가을·겨울 · 저녁</t>
        </is>
      </c>
      <c r="R38" s="5" t="inlineStr">
        <is>
          <t>가죽과 샌달우드가 어우러진 진하고 건조한 나무 향</t>
        </is>
      </c>
      <c r="S38" s="5" t="inlineStr">
        <is>
          <t>시간이 지나도 나무와 가죽 향이 오래 남아요</t>
        </is>
      </c>
      <c r="T38" s="5" t="inlineStr">
        <is>
          <t>향이 진하니 한 번만 뿌려 시간이 지나며 변화를 확인해 보세요</t>
        </is>
      </c>
      <c r="U38" s="6" t="n">
        <v>50</v>
      </c>
      <c r="V38" s="10" t="n">
        <v>319000</v>
      </c>
      <c r="W38" s="6" t="inlineStr">
        <is>
          <t>2026-10-07</t>
        </is>
      </c>
      <c r="X38" s="6" t="inlineStr">
        <is>
          <t>https://www.lelabofragrances.co.kr/santal-33-987.html</t>
        </is>
      </c>
      <c r="Y38" s="4" t="inlineStr">
        <is>
          <t>르 라보 백화점</t>
        </is>
      </c>
      <c r="Z38" s="6" t="inlineStr">
        <is>
          <t>브랜드 매장</t>
        </is>
      </c>
      <c r="AA38" s="6" t="inlineStr">
        <is>
          <t>le-labo-santal-33.jpg</t>
        </is>
      </c>
      <c r="AB38" s="6" t="inlineStr">
        <is>
          <t>https://www.lelabofragrances.co.kr/santal-33-987.html</t>
        </is>
      </c>
      <c r="AC38" s="4" t="inlineStr">
        <is>
          <t>AI 초안 (공식 확인 전)</t>
        </is>
      </c>
      <c r="AD38" s="4" t="inlineStr">
        <is>
          <t>노트·농도 공식 확인 / 시향 가능 채널 (가격·이미지는 공식 페이지에서 반영됨)</t>
        </is>
      </c>
      <c r="AE38" s="6" t="inlineStr">
        <is>
          <t>높음 (앱에 표시)</t>
        </is>
      </c>
    </row>
    <row r="39">
      <c r="A39" s="4" t="inlineStr">
        <is>
          <t>diptyque-tam-dao</t>
        </is>
      </c>
      <c r="B39" s="4" t="inlineStr">
        <is>
          <t>Diptyque</t>
        </is>
      </c>
      <c r="C39" s="5" t="inlineStr">
        <is>
          <t>딥티크</t>
        </is>
      </c>
      <c r="D39" s="4" t="inlineStr">
        <is>
          <t>Tam Dao</t>
        </is>
      </c>
      <c r="E39" s="5" t="inlineStr">
        <is>
          <t>탐 다오</t>
        </is>
      </c>
      <c r="F39" s="5" t="inlineStr">
        <is>
          <t>EDP</t>
        </is>
      </c>
      <c r="G39" s="5" t="inlineStr">
        <is>
          <t>Cypress, Rosewood</t>
        </is>
      </c>
      <c r="H39" s="5" t="inlineStr">
        <is>
          <t>Sandalwood</t>
        </is>
      </c>
      <c r="I39" s="5" t="inlineStr">
        <is>
          <t>Cedar, Amber</t>
        </is>
      </c>
      <c r="J39" s="6" t="n"/>
      <c r="K39" s="5" t="inlineStr">
        <is>
          <t>woody</t>
        </is>
      </c>
      <c r="L39" s="5" t="inlineStr">
        <is>
          <t>amber</t>
        </is>
      </c>
      <c r="M39" s="5" t="inlineStr">
        <is>
          <t>calm, warm, cozy, elegant</t>
        </is>
      </c>
      <c r="N39" s="5" t="n"/>
      <c r="O39" s="5" t="inlineStr">
        <is>
          <t>medium</t>
        </is>
      </c>
      <c r="P39" s="5" t="inlineStr">
        <is>
          <t>low</t>
        </is>
      </c>
      <c r="Q39" s="5" t="inlineStr">
        <is>
          <t>가을·겨울 · 휴식</t>
        </is>
      </c>
      <c r="R39" s="5" t="inlineStr">
        <is>
          <t>숲속 오두막 같은 포근한 샌달우드 향</t>
        </is>
      </c>
      <c r="S39" s="5" t="inlineStr">
        <is>
          <t>시간이 지나면 부드러운 나무 향이 따뜻하게 남아요</t>
        </is>
      </c>
      <c r="T39" s="5" t="inlineStr">
        <is>
          <t>첫 향의 사이프러스가 샌달우드로 바뀌는 흐름을 맡아보세요</t>
        </is>
      </c>
      <c r="U39" s="6" t="n"/>
      <c r="V39" s="6" t="n"/>
      <c r="W39" s="6" t="n"/>
      <c r="X39" s="6" t="n"/>
      <c r="Y39" s="4" t="inlineStr">
        <is>
          <t>딥티크 백화점</t>
        </is>
      </c>
      <c r="Z39" s="6" t="inlineStr">
        <is>
          <t>브랜드 매장</t>
        </is>
      </c>
      <c r="AA39" s="6" t="n"/>
      <c r="AB39" s="6" t="n"/>
      <c r="AC39" s="4" t="inlineStr">
        <is>
          <t>AI 초안 (공식 확인 전)</t>
        </is>
      </c>
      <c r="AD39" s="4" t="inlineStr">
        <is>
          <t>노트·농도 공식 확인 / 국내 정가 / 이미지 / 시향 가능 채널</t>
        </is>
      </c>
      <c r="AE39" s="6" t="inlineStr">
        <is>
          <t>높음 (앱에 표시)</t>
        </is>
      </c>
    </row>
    <row r="40">
      <c r="A40" s="4" t="inlineStr">
        <is>
          <t>tom-ford-oud-wood</t>
        </is>
      </c>
      <c r="B40" s="4" t="inlineStr">
        <is>
          <t>Tom Ford</t>
        </is>
      </c>
      <c r="C40" s="5" t="inlineStr">
        <is>
          <t>톰 포드</t>
        </is>
      </c>
      <c r="D40" s="4" t="inlineStr">
        <is>
          <t>Oud Wood</t>
        </is>
      </c>
      <c r="E40" s="5" t="inlineStr">
        <is>
          <t>우드 우드</t>
        </is>
      </c>
      <c r="F40" s="5" t="inlineStr">
        <is>
          <t>EDP</t>
        </is>
      </c>
      <c r="G40" s="5" t="inlineStr">
        <is>
          <t>Rosewood, Cardamom, Pepper</t>
        </is>
      </c>
      <c r="H40" s="5" t="inlineStr">
        <is>
          <t>Oud, Sandalwood</t>
        </is>
      </c>
      <c r="I40" s="5" t="inlineStr">
        <is>
          <t>Vetiver, Tonka Bean, Amber</t>
        </is>
      </c>
      <c r="J40" s="6" t="n"/>
      <c r="K40" s="5" t="inlineStr">
        <is>
          <t>woody</t>
        </is>
      </c>
      <c r="L40" s="5" t="inlineStr">
        <is>
          <t>spicy, amber</t>
        </is>
      </c>
      <c r="M40" s="5" t="inlineStr">
        <is>
          <t>elegant, deep, warm, sensual</t>
        </is>
      </c>
      <c r="N40" s="5" t="inlineStr">
        <is>
          <t>smoky</t>
        </is>
      </c>
      <c r="O40" s="5" t="inlineStr">
        <is>
          <t>strong</t>
        </is>
      </c>
      <c r="P40" s="5" t="inlineStr">
        <is>
          <t>high</t>
        </is>
      </c>
      <c r="Q40" s="5" t="inlineStr">
        <is>
          <t>가을·겨울 · 저녁</t>
        </is>
      </c>
      <c r="R40" s="5" t="inlineStr">
        <is>
          <t>고급스럽고 진한 침향과 샌달우드 향</t>
        </is>
      </c>
      <c r="S40" s="5" t="inlineStr">
        <is>
          <t>시간이 지나도 우디한 향이 오래 남아요</t>
        </is>
      </c>
      <c r="T40" s="5" t="inlineStr">
        <is>
          <t>우드 향의 진함이 부담스러운지 확인해 보세요</t>
        </is>
      </c>
      <c r="U40" s="6" t="n"/>
      <c r="V40" s="6" t="n"/>
      <c r="W40" s="6" t="n"/>
      <c r="X40" s="6" t="n"/>
      <c r="Y40" s="4" t="inlineStr">
        <is>
          <t>톰 포드 뷰티 백화점</t>
        </is>
      </c>
      <c r="Z40" s="6" t="inlineStr">
        <is>
          <t>백화점</t>
        </is>
      </c>
      <c r="AA40" s="6" t="n"/>
      <c r="AB40" s="6" t="n"/>
      <c r="AC40" s="4" t="inlineStr">
        <is>
          <t>AI 초안 (공식 확인 전)</t>
        </is>
      </c>
      <c r="AD40" s="4" t="inlineStr">
        <is>
          <t>노트·농도 공식 확인 / 국내 정가 / 이미지 / 시향 가능 채널</t>
        </is>
      </c>
      <c r="AE40" s="6" t="inlineStr">
        <is>
          <t>보통 (앱에 표시)</t>
        </is>
      </c>
    </row>
    <row r="41">
      <c r="A41" s="4" t="inlineStr">
        <is>
          <t>byredo-gypsy-water</t>
        </is>
      </c>
      <c r="B41" s="4" t="inlineStr">
        <is>
          <t>Byredo</t>
        </is>
      </c>
      <c r="C41" s="5" t="inlineStr">
        <is>
          <t>바이레도</t>
        </is>
      </c>
      <c r="D41" s="4" t="inlineStr">
        <is>
          <t>Gypsy Water</t>
        </is>
      </c>
      <c r="E41" s="5" t="inlineStr">
        <is>
          <t>집시 워터</t>
        </is>
      </c>
      <c r="F41" s="5" t="inlineStr">
        <is>
          <t>EDP</t>
        </is>
      </c>
      <c r="G41" s="5" t="inlineStr">
        <is>
          <t>Bergamot, Lemon, Pepper, Juniper Berries</t>
        </is>
      </c>
      <c r="H41" s="5" t="inlineStr">
        <is>
          <t>Incense, Pine Needles, Iris</t>
        </is>
      </c>
      <c r="I41" s="5" t="inlineStr">
        <is>
          <t>Amber, Vanilla, Sandalwood</t>
        </is>
      </c>
      <c r="J41" s="6" t="n"/>
      <c r="K41" s="5" t="inlineStr">
        <is>
          <t>woody</t>
        </is>
      </c>
      <c r="L41" s="5" t="inlineStr">
        <is>
          <t>aromatic, amber</t>
        </is>
      </c>
      <c r="M41" s="5" t="inlineStr">
        <is>
          <t>calm, fresh, warm, cozy</t>
        </is>
      </c>
      <c r="N41" s="5" t="n"/>
      <c r="O41" s="5" t="inlineStr">
        <is>
          <t>medium</t>
        </is>
      </c>
      <c r="P41" s="5" t="inlineStr">
        <is>
          <t>low</t>
        </is>
      </c>
      <c r="Q41" s="5" t="inlineStr">
        <is>
          <t>사계절 · 산책</t>
        </is>
      </c>
      <c r="R41" s="5" t="inlineStr">
        <is>
          <t>소나무 숲과 모닥불 같은 포근하고 상쾌한 향</t>
        </is>
      </c>
      <c r="S41" s="5" t="inlineStr">
        <is>
          <t>시간이 지나면 부드러운 바닐라와 나무 향이 남아요</t>
        </is>
      </c>
      <c r="T41" s="5" t="inlineStr">
        <is>
          <t>솔잎의 상쾌함이 바닐라로 이어지는지 맡아보세요</t>
        </is>
      </c>
      <c r="U41" s="6" t="n">
        <v>50</v>
      </c>
      <c r="V41" s="10" t="n">
        <v>305000</v>
      </c>
      <c r="W41" s="6" t="inlineStr">
        <is>
          <t>2026-10-07</t>
        </is>
      </c>
      <c r="X41" s="6" t="inlineStr">
        <is>
          <t>https://www.byredo.com/ko_kr/p/gypsy-water-eau-de-parfum</t>
        </is>
      </c>
      <c r="Y41" s="4" t="inlineStr">
        <is>
          <t>바이레도 백화점</t>
        </is>
      </c>
      <c r="Z41" s="6" t="inlineStr">
        <is>
          <t>[확인 필요]</t>
        </is>
      </c>
      <c r="AA41" s="6" t="inlineStr">
        <is>
          <t>byredo-gypsy-water.jpg</t>
        </is>
      </c>
      <c r="AB41" s="6" t="inlineStr">
        <is>
          <t>https://www.byredo.com/ko_kr/p/gypsy-water-eau-de-parfum</t>
        </is>
      </c>
      <c r="AC41" s="4" t="inlineStr">
        <is>
          <t>AI 초안 (공식 확인 전)</t>
        </is>
      </c>
      <c r="AD41" s="4" t="inlineStr">
        <is>
          <t>노트·농도 공식 확인 / 시향 가능 채널 (가격·이미지는 공식 페이지에서 반영됨)</t>
        </is>
      </c>
      <c r="AE41" s="6" t="inlineStr">
        <is>
          <t>미확인</t>
        </is>
      </c>
    </row>
    <row r="42">
      <c r="A42" s="4" t="inlineStr">
        <is>
          <t>mfk-baccarat-rouge-540</t>
        </is>
      </c>
      <c r="B42" s="4" t="inlineStr">
        <is>
          <t>Maison Francis Kurkdjian</t>
        </is>
      </c>
      <c r="C42" s="5" t="inlineStr">
        <is>
          <t>메종 프란시스 커정</t>
        </is>
      </c>
      <c r="D42" s="4" t="inlineStr">
        <is>
          <t>Baccarat Rouge 540</t>
        </is>
      </c>
      <c r="E42" s="5" t="inlineStr">
        <is>
          <t>바카라 루쥬 540</t>
        </is>
      </c>
      <c r="F42" s="5" t="inlineStr">
        <is>
          <t>EDP</t>
        </is>
      </c>
      <c r="G42" s="5" t="inlineStr">
        <is>
          <t>Saffron, Jasmine</t>
        </is>
      </c>
      <c r="H42" s="5" t="inlineStr">
        <is>
          <t>Amberwood, Ambergris</t>
        </is>
      </c>
      <c r="I42" s="5" t="inlineStr">
        <is>
          <t>Fir Resin, Cedar</t>
        </is>
      </c>
      <c r="J42" s="6" t="n"/>
      <c r="K42" s="5" t="inlineStr">
        <is>
          <t>amber</t>
        </is>
      </c>
      <c r="L42" s="5" t="inlineStr">
        <is>
          <t>woody, whiteFloral</t>
        </is>
      </c>
      <c r="M42" s="5" t="inlineStr">
        <is>
          <t>sweet, warm, elegant, cozy</t>
        </is>
      </c>
      <c r="N42" s="5" t="inlineStr">
        <is>
          <t>tooSweet</t>
        </is>
      </c>
      <c r="O42" s="5" t="inlineStr">
        <is>
          <t>strong</t>
        </is>
      </c>
      <c r="P42" s="5" t="inlineStr">
        <is>
          <t>mid</t>
        </is>
      </c>
      <c r="Q42" s="5" t="inlineStr">
        <is>
          <t>가을·겨울 · 저녁</t>
        </is>
      </c>
      <c r="R42" s="5" t="inlineStr">
        <is>
          <t>설탕을 녹인 듯 달콤하고 따뜻한 앰버 향</t>
        </is>
      </c>
      <c r="S42" s="5" t="inlineStr">
        <is>
          <t>시간이 지나도 달콤한 앰버가 옷에 오래 남아요</t>
        </is>
      </c>
      <c r="T42" s="5" t="inlineStr">
        <is>
          <t>달콤함이 부담스럽지 않은지 확인해 보세요</t>
        </is>
      </c>
      <c r="U42" s="6" t="n"/>
      <c r="V42" s="6" t="n"/>
      <c r="W42" s="6" t="n"/>
      <c r="X42" s="6" t="n"/>
      <c r="Y42" s="4" t="inlineStr">
        <is>
          <t>메종 프란시스 커정 백화점</t>
        </is>
      </c>
      <c r="Z42" s="6" t="inlineStr">
        <is>
          <t>백화점</t>
        </is>
      </c>
      <c r="AA42" s="6" t="n"/>
      <c r="AB42" s="6" t="n"/>
      <c r="AC42" s="4" t="inlineStr">
        <is>
          <t>AI 초안 (공식 확인 전)</t>
        </is>
      </c>
      <c r="AD42" s="4" t="inlineStr">
        <is>
          <t>노트·농도 공식 확인 / 국내 정가 / 이미지 / 시향 가능 채널</t>
        </is>
      </c>
      <c r="AE42" s="6" t="inlineStr">
        <is>
          <t>보통 (앱에 표시)</t>
        </is>
      </c>
    </row>
    <row r="43">
      <c r="A43" s="4" t="inlineStr">
        <is>
          <t>guerlain-shalimar-edp</t>
        </is>
      </c>
      <c r="B43" s="4" t="inlineStr">
        <is>
          <t>Guerlain</t>
        </is>
      </c>
      <c r="C43" s="5" t="inlineStr">
        <is>
          <t>겔랑</t>
        </is>
      </c>
      <c r="D43" s="4" t="inlineStr">
        <is>
          <t>Shalimar</t>
        </is>
      </c>
      <c r="E43" s="5" t="inlineStr">
        <is>
          <t>샬리마르</t>
        </is>
      </c>
      <c r="F43" s="5" t="inlineStr">
        <is>
          <t>EDP</t>
        </is>
      </c>
      <c r="G43" s="5" t="inlineStr">
        <is>
          <t>Bergamot, Lemon, Mandarin</t>
        </is>
      </c>
      <c r="H43" s="5" t="inlineStr">
        <is>
          <t>Iris, Jasmine, Rose</t>
        </is>
      </c>
      <c r="I43" s="5" t="inlineStr">
        <is>
          <t>Vanilla, Tonka Bean, Incense</t>
        </is>
      </c>
      <c r="J43" s="6" t="n"/>
      <c r="K43" s="5" t="inlineStr">
        <is>
          <t>amber</t>
        </is>
      </c>
      <c r="L43" s="5" t="inlineStr">
        <is>
          <t>gourmand, leather</t>
        </is>
      </c>
      <c r="M43" s="5" t="inlineStr">
        <is>
          <t>warm, sensual, elegant, deep, sweet</t>
        </is>
      </c>
      <c r="N43" s="5" t="inlineStr">
        <is>
          <t>powdery</t>
        </is>
      </c>
      <c r="O43" s="5" t="inlineStr">
        <is>
          <t>strong</t>
        </is>
      </c>
      <c r="P43" s="5" t="inlineStr">
        <is>
          <t>high</t>
        </is>
      </c>
      <c r="Q43" s="5" t="inlineStr">
        <is>
          <t>가을·겨울 · 저녁</t>
        </is>
      </c>
      <c r="R43" s="5" t="inlineStr">
        <is>
          <t>바닐라와 인센스가 어우러진 고전적이고 진한 향</t>
        </is>
      </c>
      <c r="S43" s="5" t="inlineStr">
        <is>
          <t>시간이 지나도 달콤한 바닐라 향이 길게 남아요</t>
        </is>
      </c>
      <c r="T43" s="5" t="inlineStr">
        <is>
          <t>향이 진하니 잔향까지 충분히 맡아보세요</t>
        </is>
      </c>
      <c r="U43" s="6" t="n"/>
      <c r="V43" s="6" t="n"/>
      <c r="W43" s="6" t="n"/>
      <c r="X43" s="6" t="n"/>
      <c r="Y43" s="4" t="inlineStr">
        <is>
          <t>겔랑 향수 백화점</t>
        </is>
      </c>
      <c r="Z43" s="6" t="inlineStr">
        <is>
          <t>백화점</t>
        </is>
      </c>
      <c r="AA43" s="6" t="n"/>
      <c r="AB43" s="6" t="n"/>
      <c r="AC43" s="4" t="inlineStr">
        <is>
          <t>AI 초안 (공식 확인 전)</t>
        </is>
      </c>
      <c r="AD43" s="4" t="inlineStr">
        <is>
          <t>노트·농도 공식 확인 / 국내 정가 / 이미지 / 시향 가능 채널</t>
        </is>
      </c>
      <c r="AE43" s="6" t="inlineStr">
        <is>
          <t>보통 (앱에 표시)</t>
        </is>
      </c>
    </row>
    <row r="44">
      <c r="A44" s="4" t="inlineStr">
        <is>
          <t>ysl-libre-edp</t>
        </is>
      </c>
      <c r="B44" s="4" t="inlineStr">
        <is>
          <t>Yves Saint Laurent</t>
        </is>
      </c>
      <c r="C44" s="5" t="inlineStr">
        <is>
          <t>입생로랑</t>
        </is>
      </c>
      <c r="D44" s="4" t="inlineStr">
        <is>
          <t>Libre Eau de Parfum</t>
        </is>
      </c>
      <c r="E44" s="5" t="inlineStr">
        <is>
          <t>리브르 오 드 퍼퓸</t>
        </is>
      </c>
      <c r="F44" s="5" t="inlineStr">
        <is>
          <t>EDP</t>
        </is>
      </c>
      <c r="G44" s="5" t="inlineStr">
        <is>
          <t>Mandarin, Blackcurrant</t>
        </is>
      </c>
      <c r="H44" s="5" t="inlineStr">
        <is>
          <t>Lavender, Orange Blossom, Jasmine</t>
        </is>
      </c>
      <c r="I44" s="5" t="inlineStr">
        <is>
          <t>Vanilla, Musk, Cedar</t>
        </is>
      </c>
      <c r="J44" s="6" t="n"/>
      <c r="K44" s="5" t="inlineStr">
        <is>
          <t>amber</t>
        </is>
      </c>
      <c r="L44" s="5" t="inlineStr">
        <is>
          <t>aromatic, whiteFloral</t>
        </is>
      </c>
      <c r="M44" s="5" t="inlineStr">
        <is>
          <t>warm, elegant, soft, sweet</t>
        </is>
      </c>
      <c r="N44" s="5" t="n"/>
      <c r="O44" s="5" t="inlineStr">
        <is>
          <t>medium</t>
        </is>
      </c>
      <c r="P44" s="5" t="inlineStr">
        <is>
          <t>mid</t>
        </is>
      </c>
      <c r="Q44" s="5" t="inlineStr">
        <is>
          <t>사계절 · 데이트</t>
        </is>
      </c>
      <c r="R44" s="5" t="inlineStr">
        <is>
          <t>라벤더와 오렌지 꽃에 바닐라가 더해진 따뜻한 향</t>
        </is>
      </c>
      <c r="S44" s="5" t="inlineStr">
        <is>
          <t>시간이 지나면 부드러운 바닐라와 머스크가 남아요</t>
        </is>
      </c>
      <c r="T44" s="5" t="inlineStr">
        <is>
          <t>라벤더와 바닐라가 어우러지는 흐름을 맡아보세요</t>
        </is>
      </c>
      <c r="U44" s="6" t="n"/>
      <c r="V44" s="6" t="n"/>
      <c r="W44" s="6" t="n"/>
      <c r="X44" s="6" t="n"/>
      <c r="Y44" s="4" t="inlineStr">
        <is>
          <t>입생로랑 뷰티 백화점</t>
        </is>
      </c>
      <c r="Z44" s="6" t="inlineStr">
        <is>
          <t>백화점</t>
        </is>
      </c>
      <c r="AA44" s="6" t="n"/>
      <c r="AB44" s="6" t="n"/>
      <c r="AC44" s="4" t="inlineStr">
        <is>
          <t>AI 초안 (공식 확인 전)</t>
        </is>
      </c>
      <c r="AD44" s="4" t="inlineStr">
        <is>
          <t>노트·농도 공식 확인 / 국내 정가 / 이미지 / 시향 가능 채널</t>
        </is>
      </c>
      <c r="AE44" s="6" t="inlineStr">
        <is>
          <t>보통 (앱에 표시)</t>
        </is>
      </c>
    </row>
    <row r="45">
      <c r="A45" s="4" t="inlineStr">
        <is>
          <t>ysl-black-opium</t>
        </is>
      </c>
      <c r="B45" s="4" t="inlineStr">
        <is>
          <t>Yves Saint Laurent</t>
        </is>
      </c>
      <c r="C45" s="5" t="inlineStr">
        <is>
          <t>입생로랑</t>
        </is>
      </c>
      <c r="D45" s="4" t="inlineStr">
        <is>
          <t>Black Opium</t>
        </is>
      </c>
      <c r="E45" s="5" t="inlineStr">
        <is>
          <t>블랙 오피움</t>
        </is>
      </c>
      <c r="F45" s="5" t="inlineStr">
        <is>
          <t>EDP</t>
        </is>
      </c>
      <c r="G45" s="5" t="inlineStr">
        <is>
          <t>Pear, Pink Pepper, Orange Blossom</t>
        </is>
      </c>
      <c r="H45" s="5" t="inlineStr">
        <is>
          <t>Coffee, Jasmine</t>
        </is>
      </c>
      <c r="I45" s="5" t="inlineStr">
        <is>
          <t>Vanilla, Cedar, Patchouli</t>
        </is>
      </c>
      <c r="J45" s="6" t="n"/>
      <c r="K45" s="5" t="inlineStr">
        <is>
          <t>gourmand</t>
        </is>
      </c>
      <c r="L45" s="5" t="inlineStr">
        <is>
          <t>spicy, amber</t>
        </is>
      </c>
      <c r="M45" s="5" t="inlineStr">
        <is>
          <t>sweet, sensual, warm, deep</t>
        </is>
      </c>
      <c r="N45" s="5" t="inlineStr">
        <is>
          <t>tooSweet</t>
        </is>
      </c>
      <c r="O45" s="5" t="inlineStr">
        <is>
          <t>strong</t>
        </is>
      </c>
      <c r="P45" s="5" t="inlineStr">
        <is>
          <t>mid</t>
        </is>
      </c>
      <c r="Q45" s="5" t="inlineStr">
        <is>
          <t>가을·겨울 · 저녁</t>
        </is>
      </c>
      <c r="R45" s="5" t="inlineStr">
        <is>
          <t>달콤한 바닐라와 진한 커피가 만난 향</t>
        </is>
      </c>
      <c r="S45" s="5" t="inlineStr">
        <is>
          <t>시간이 지나도 달콤한 바닐라 향이 오래 남아요</t>
        </is>
      </c>
      <c r="T45" s="5" t="inlineStr">
        <is>
          <t>커피와 바닐라의 달콤함이 부담스럽지 않은지 확인해 보세요</t>
        </is>
      </c>
      <c r="U45" s="6" t="n"/>
      <c r="V45" s="6" t="n"/>
      <c r="W45" s="6" t="n"/>
      <c r="X45" s="6" t="n"/>
      <c r="Y45" s="4" t="inlineStr">
        <is>
          <t>입생로랑 뷰티 백화점</t>
        </is>
      </c>
      <c r="Z45" s="6" t="inlineStr">
        <is>
          <t>백화점</t>
        </is>
      </c>
      <c r="AA45" s="6" t="n"/>
      <c r="AB45" s="6" t="n"/>
      <c r="AC45" s="4" t="inlineStr">
        <is>
          <t>AI 초안 (공식 확인 전)</t>
        </is>
      </c>
      <c r="AD45" s="4" t="inlineStr">
        <is>
          <t>노트·농도 공식 확인 / 국내 정가 / 이미지 / 시향 가능 채널</t>
        </is>
      </c>
      <c r="AE45" s="6" t="inlineStr">
        <is>
          <t>보통 (앱에 표시)</t>
        </is>
      </c>
    </row>
    <row r="46">
      <c r="A46" s="4" t="inlineStr">
        <is>
          <t>lancome-la-vie-est-belle</t>
        </is>
      </c>
      <c r="B46" s="4" t="inlineStr">
        <is>
          <t>Lancôme</t>
        </is>
      </c>
      <c r="C46" s="5" t="inlineStr">
        <is>
          <t>랑콤</t>
        </is>
      </c>
      <c r="D46" s="4" t="inlineStr">
        <is>
          <t>La Vie Est Belle</t>
        </is>
      </c>
      <c r="E46" s="5" t="inlineStr">
        <is>
          <t>라 비 에 벨</t>
        </is>
      </c>
      <c r="F46" s="5" t="inlineStr">
        <is>
          <t>EDP</t>
        </is>
      </c>
      <c r="G46" s="5" t="inlineStr">
        <is>
          <t>Blackcurrant, Pear</t>
        </is>
      </c>
      <c r="H46" s="5" t="inlineStr">
        <is>
          <t>Iris, Jasmine, Orange Blossom</t>
        </is>
      </c>
      <c r="I46" s="5" t="inlineStr">
        <is>
          <t>Praline, Vanilla, Patchouli, Tonka Bean</t>
        </is>
      </c>
      <c r="J46" s="6" t="n"/>
      <c r="K46" s="5" t="inlineStr">
        <is>
          <t>gourmand</t>
        </is>
      </c>
      <c r="L46" s="5" t="inlineStr">
        <is>
          <t>powdery, floral</t>
        </is>
      </c>
      <c r="M46" s="5" t="inlineStr">
        <is>
          <t>sweet, lovely, cozy, elegant</t>
        </is>
      </c>
      <c r="N46" s="5" t="inlineStr">
        <is>
          <t>tooSweet, powdery</t>
        </is>
      </c>
      <c r="O46" s="5" t="inlineStr">
        <is>
          <t>medium</t>
        </is>
      </c>
      <c r="P46" s="5" t="inlineStr">
        <is>
          <t>mid</t>
        </is>
      </c>
      <c r="Q46" s="5" t="inlineStr">
        <is>
          <t>가을·겨울 · 데일리</t>
        </is>
      </c>
      <c r="R46" s="5" t="inlineStr">
        <is>
          <t>과일과 프랄린이 어우러진 달콤하고 포근한 향</t>
        </is>
      </c>
      <c r="S46" s="5" t="inlineStr">
        <is>
          <t>시간이 지나면 고소한 달콤함이 남아요</t>
        </is>
      </c>
      <c r="T46" s="5" t="inlineStr">
        <is>
          <t>달콤한 첫 향이 프랄린으로 이어지는지 맡아보세요</t>
        </is>
      </c>
      <c r="U46" s="6" t="n"/>
      <c r="V46" s="6" t="n"/>
      <c r="W46" s="6" t="n"/>
      <c r="X46" s="6" t="n"/>
      <c r="Y46" s="4" t="inlineStr">
        <is>
          <t>랑콤 뷰티 백화점</t>
        </is>
      </c>
      <c r="Z46" s="6" t="inlineStr">
        <is>
          <t>백화점</t>
        </is>
      </c>
      <c r="AA46" s="6" t="n"/>
      <c r="AB46" s="6" t="n"/>
      <c r="AC46" s="4" t="inlineStr">
        <is>
          <t>AI 초안 (공식 확인 전)</t>
        </is>
      </c>
      <c r="AD46" s="4" t="inlineStr">
        <is>
          <t>노트·농도 공식 확인 / 국내 정가 / 이미지 / 시향 가능 채널</t>
        </is>
      </c>
      <c r="AE46" s="6" t="inlineStr">
        <is>
          <t>보통 (앱에 표시)</t>
        </is>
      </c>
    </row>
    <row r="47">
      <c r="A47" s="4" t="inlineStr">
        <is>
          <t>kilian-angels-share</t>
        </is>
      </c>
      <c r="B47" s="4" t="inlineStr">
        <is>
          <t>Kilian Paris</t>
        </is>
      </c>
      <c r="C47" s="5" t="inlineStr">
        <is>
          <t>킬리안 파리</t>
        </is>
      </c>
      <c r="D47" s="4" t="inlineStr">
        <is>
          <t>Angels' Share</t>
        </is>
      </c>
      <c r="E47" s="5" t="inlineStr">
        <is>
          <t>엔젤스 셰어</t>
        </is>
      </c>
      <c r="F47" s="5" t="inlineStr">
        <is>
          <t>EDP</t>
        </is>
      </c>
      <c r="G47" s="5" t="inlineStr">
        <is>
          <t>Cognac, Cinnamon</t>
        </is>
      </c>
      <c r="H47" s="5" t="inlineStr">
        <is>
          <t>Tonka Bean, Oak</t>
        </is>
      </c>
      <c r="I47" s="5" t="inlineStr">
        <is>
          <t>Praline, Vanilla, Sandalwood</t>
        </is>
      </c>
      <c r="J47" s="6" t="n"/>
      <c r="K47" s="5" t="inlineStr">
        <is>
          <t>gourmand</t>
        </is>
      </c>
      <c r="L47" s="5" t="inlineStr">
        <is>
          <t>amber, spicy</t>
        </is>
      </c>
      <c r="M47" s="5" t="inlineStr">
        <is>
          <t>warm, sweet, cozy, sensual, deep</t>
        </is>
      </c>
      <c r="N47" s="5" t="inlineStr">
        <is>
          <t>tooSweet</t>
        </is>
      </c>
      <c r="O47" s="5" t="inlineStr">
        <is>
          <t>strong</t>
        </is>
      </c>
      <c r="P47" s="5" t="inlineStr">
        <is>
          <t>mid</t>
        </is>
      </c>
      <c r="Q47" s="5" t="inlineStr">
        <is>
          <t>가을·겨울 · 저녁</t>
        </is>
      </c>
      <c r="R47" s="5" t="inlineStr">
        <is>
          <t>코냑과 계피, 바닐라가 따뜻하게 어우러진 향</t>
        </is>
      </c>
      <c r="S47" s="5" t="inlineStr">
        <is>
          <t>시간이 지나도 달콤한 술 향이 포근하게 남아요</t>
        </is>
      </c>
      <c r="T47" s="5" t="inlineStr">
        <is>
          <t>술 향 같은 달콤함이 진한 편이니 한 번에 길게 맡아보세요</t>
        </is>
      </c>
      <c r="U47" s="6" t="n"/>
      <c r="V47" s="6" t="n"/>
      <c r="W47" s="6" t="n"/>
      <c r="X47" s="6" t="n"/>
      <c r="Y47" s="4" t="inlineStr">
        <is>
          <t>킬리안 파리 백화점</t>
        </is>
      </c>
      <c r="Z47" s="6" t="inlineStr">
        <is>
          <t>백화점</t>
        </is>
      </c>
      <c r="AA47" s="6" t="n"/>
      <c r="AB47" s="6" t="n"/>
      <c r="AC47" s="4" t="inlineStr">
        <is>
          <t>AI 초안 (공식 확인 전)</t>
        </is>
      </c>
      <c r="AD47" s="4" t="inlineStr">
        <is>
          <t>노트·농도 공식 확인 / 국내 정가 / 이미지 / 시향 가능 채널</t>
        </is>
      </c>
      <c r="AE47" s="6" t="inlineStr">
        <is>
          <t>낮음 (앱에 표시 안 함)</t>
        </is>
      </c>
    </row>
    <row r="48">
      <c r="A48" s="4" t="inlineStr">
        <is>
          <t>mugler-angel</t>
        </is>
      </c>
      <c r="B48" s="4" t="inlineStr">
        <is>
          <t>Mugler</t>
        </is>
      </c>
      <c r="C48" s="5" t="inlineStr">
        <is>
          <t>뮈글러</t>
        </is>
      </c>
      <c r="D48" s="4" t="inlineStr">
        <is>
          <t>Angel</t>
        </is>
      </c>
      <c r="E48" s="5" t="inlineStr">
        <is>
          <t>엔젤</t>
        </is>
      </c>
      <c r="F48" s="5" t="inlineStr">
        <is>
          <t>EDP</t>
        </is>
      </c>
      <c r="G48" s="5" t="inlineStr">
        <is>
          <t>Bergamot, Coconut</t>
        </is>
      </c>
      <c r="H48" s="5" t="inlineStr">
        <is>
          <t>Honey, Jasmine</t>
        </is>
      </c>
      <c r="I48" s="5" t="inlineStr">
        <is>
          <t>Patchouli, Chocolate, Caramel, Vanilla</t>
        </is>
      </c>
      <c r="J48" s="6" t="n"/>
      <c r="K48" s="5" t="inlineStr">
        <is>
          <t>gourmand</t>
        </is>
      </c>
      <c r="L48" s="5" t="inlineStr">
        <is>
          <t>amber</t>
        </is>
      </c>
      <c r="M48" s="5" t="inlineStr">
        <is>
          <t>sweet, deep, sensual, warm</t>
        </is>
      </c>
      <c r="N48" s="5" t="inlineStr">
        <is>
          <t>tooSweet, headache</t>
        </is>
      </c>
      <c r="O48" s="5" t="inlineStr">
        <is>
          <t>strong</t>
        </is>
      </c>
      <c r="P48" s="5" t="inlineStr">
        <is>
          <t>high</t>
        </is>
      </c>
      <c r="Q48" s="5" t="inlineStr">
        <is>
          <t>가을·겨울 · 저녁</t>
        </is>
      </c>
      <c r="R48" s="5" t="inlineStr">
        <is>
          <t>초콜릿과 카라멜이 가득한 아주 달콤하고 진한 향</t>
        </is>
      </c>
      <c r="S48" s="5" t="inlineStr">
        <is>
          <t>시간이 지나도 달콤한 향이 매우 오래 남아요</t>
        </is>
      </c>
      <c r="T48" s="5" t="inlineStr">
        <is>
          <t>향이 매우 진하니 소량만 뿌려 맡아보세요</t>
        </is>
      </c>
      <c r="U48" s="6" t="n"/>
      <c r="V48" s="6" t="n"/>
      <c r="W48" s="6" t="n"/>
      <c r="X48" s="6" t="n"/>
      <c r="Y48" s="4" t="inlineStr">
        <is>
          <t>뮈글러 엔젤 백화점</t>
        </is>
      </c>
      <c r="Z48" s="6" t="inlineStr">
        <is>
          <t>[확인 필요]</t>
        </is>
      </c>
      <c r="AA48" s="6" t="n"/>
      <c r="AB48" s="6" t="n"/>
      <c r="AC48" s="4" t="inlineStr">
        <is>
          <t>AI 초안 (공식 확인 전)</t>
        </is>
      </c>
      <c r="AD48" s="4" t="inlineStr">
        <is>
          <t>노트·농도 공식 확인 / 국내 정가 / 이미지 / 시향 가능 채널</t>
        </is>
      </c>
      <c r="AE48" s="6" t="inlineStr">
        <is>
          <t>미확인</t>
        </is>
      </c>
    </row>
    <row r="49">
      <c r="A49" s="4" t="inlineStr">
        <is>
          <t>maison-margiela-replica-by-the-fireplace</t>
        </is>
      </c>
      <c r="B49" s="4" t="inlineStr">
        <is>
          <t>Maison Margiela</t>
        </is>
      </c>
      <c r="C49" s="5" t="inlineStr">
        <is>
          <t>메종 마르지엘라</t>
        </is>
      </c>
      <c r="D49" s="4" t="inlineStr">
        <is>
          <t>Replica By the Fireplace</t>
        </is>
      </c>
      <c r="E49" s="5" t="inlineStr">
        <is>
          <t>레플리카 바이 더 파이어플레이스</t>
        </is>
      </c>
      <c r="F49" s="5" t="inlineStr">
        <is>
          <t>EDT</t>
        </is>
      </c>
      <c r="G49" s="5" t="inlineStr">
        <is>
          <t>Clove, Pink Pepper, Orange Blossom</t>
        </is>
      </c>
      <c r="H49" s="5" t="inlineStr">
        <is>
          <t>Chestnut, Guaiac Wood</t>
        </is>
      </c>
      <c r="I49" s="5" t="inlineStr">
        <is>
          <t>Vanilla, Cashmeran</t>
        </is>
      </c>
      <c r="J49" s="6" t="n"/>
      <c r="K49" s="5" t="inlineStr">
        <is>
          <t>leather</t>
        </is>
      </c>
      <c r="L49" s="5" t="inlineStr">
        <is>
          <t>gourmand, woody, spicy</t>
        </is>
      </c>
      <c r="M49" s="5" t="inlineStr">
        <is>
          <t>cozy, warm, deep, sweet</t>
        </is>
      </c>
      <c r="N49" s="5" t="inlineStr">
        <is>
          <t>smoky</t>
        </is>
      </c>
      <c r="O49" s="5" t="inlineStr">
        <is>
          <t>medium</t>
        </is>
      </c>
      <c r="P49" s="5" t="inlineStr">
        <is>
          <t>mid</t>
        </is>
      </c>
      <c r="Q49" s="5" t="inlineStr">
        <is>
          <t>가을·겨울 · 저녁</t>
        </is>
      </c>
      <c r="R49" s="5" t="inlineStr">
        <is>
          <t>벽난로 앞에서 군밤을 굽는 듯한 따뜻하고 스모키한 향</t>
        </is>
      </c>
      <c r="S49" s="5" t="inlineStr">
        <is>
          <t>시간이 지나면 포근한 바닐라와 나무 향이 남아요</t>
        </is>
      </c>
      <c r="T49" s="5" t="inlineStr">
        <is>
          <t>스모키한 느낌이 얼마나 되는지 맡아보세요</t>
        </is>
      </c>
      <c r="U49" s="6" t="n">
        <v>100</v>
      </c>
      <c r="V49" s="10" t="n">
        <v>240000</v>
      </c>
      <c r="W49" s="6" t="inlineStr">
        <is>
          <t>2026-10-07</t>
        </is>
      </c>
      <c r="X49" s="6" t="inlineStr">
        <is>
          <t>https://www.maisonmargiela.com/ko-kr/replica-by-the-fireplace-eau-de-toilette-%7C-maison-margiela-S33YX0024S11331961.html</t>
        </is>
      </c>
      <c r="Y49" s="4" t="inlineStr">
        <is>
          <t>메종 마르지엘라 레플리카 백화점</t>
        </is>
      </c>
      <c r="Z49" s="6" t="inlineStr">
        <is>
          <t>백화점</t>
        </is>
      </c>
      <c r="AA49" s="6" t="inlineStr">
        <is>
          <t>maison-margiela-replica-by-the-fireplace.jpg</t>
        </is>
      </c>
      <c r="AB49" s="6" t="inlineStr">
        <is>
          <t>https://www.maisonmargiela.com/ko-kr/replica-by-the-fireplace-eau-de-toilette-%7C-maison-margiela-S33YX0024S11331961.html</t>
        </is>
      </c>
      <c r="AC49" s="4" t="inlineStr">
        <is>
          <t>AI 초안 (공식 확인 전)</t>
        </is>
      </c>
      <c r="AD49" s="4" t="inlineStr">
        <is>
          <t>노트·농도 공식 확인 / 시향 가능 채널 (가격·이미지는 공식 페이지에서 반영됨)</t>
        </is>
      </c>
      <c r="AE49" s="6" t="inlineStr">
        <is>
          <t>보통 (앱에 표시)</t>
        </is>
      </c>
    </row>
    <row r="50">
      <c r="A50" s="4" t="inlineStr">
        <is>
          <t>maison-margiela-replica-jazz-club</t>
        </is>
      </c>
      <c r="B50" s="4" t="inlineStr">
        <is>
          <t>Maison Margiela</t>
        </is>
      </c>
      <c r="C50" s="5" t="inlineStr">
        <is>
          <t>메종 마르지엘라</t>
        </is>
      </c>
      <c r="D50" s="4" t="inlineStr">
        <is>
          <t>Replica Jazz Club</t>
        </is>
      </c>
      <c r="E50" s="5" t="inlineStr">
        <is>
          <t>레플리카 재즈 클럽</t>
        </is>
      </c>
      <c r="F50" s="5" t="inlineStr">
        <is>
          <t>EDT</t>
        </is>
      </c>
      <c r="G50" s="5" t="inlineStr">
        <is>
          <t>Pink Pepper, Lemon, Neroli</t>
        </is>
      </c>
      <c r="H50" s="5" t="inlineStr">
        <is>
          <t>Rum, Vetiver, Clary Sage</t>
        </is>
      </c>
      <c r="I50" s="5" t="inlineStr">
        <is>
          <t>Tobacco Leaf, Vanilla, Styrax</t>
        </is>
      </c>
      <c r="J50" s="6" t="n"/>
      <c r="K50" s="5" t="inlineStr">
        <is>
          <t>leather</t>
        </is>
      </c>
      <c r="L50" s="5" t="inlineStr">
        <is>
          <t>gourmand, amber</t>
        </is>
      </c>
      <c r="M50" s="5" t="inlineStr">
        <is>
          <t>warm, cozy, deep, sensual</t>
        </is>
      </c>
      <c r="N50" s="5" t="inlineStr">
        <is>
          <t>smoky</t>
        </is>
      </c>
      <c r="O50" s="5" t="inlineStr">
        <is>
          <t>medium</t>
        </is>
      </c>
      <c r="P50" s="5" t="inlineStr">
        <is>
          <t>mid</t>
        </is>
      </c>
      <c r="Q50" s="5" t="inlineStr">
        <is>
          <t>가을·겨울 · 저녁</t>
        </is>
      </c>
      <c r="R50" s="5" t="inlineStr">
        <is>
          <t>술 한 잔과 담배 향이 어우러진 재즈바 같은 향</t>
        </is>
      </c>
      <c r="S50" s="5" t="inlineStr">
        <is>
          <t>시간이 지나면 달콤한 담배와 바닐라가 남아요</t>
        </is>
      </c>
      <c r="T50" s="5" t="inlineStr">
        <is>
          <t>럼과 담배 잎의 조화를 맡아보세요</t>
        </is>
      </c>
      <c r="U50" s="6" t="n"/>
      <c r="V50" s="6" t="n"/>
      <c r="W50" s="6" t="n"/>
      <c r="X50" s="6" t="n"/>
      <c r="Y50" s="4" t="inlineStr">
        <is>
          <t>메종 마르지엘라 레플리카 백화점</t>
        </is>
      </c>
      <c r="Z50" s="6" t="inlineStr">
        <is>
          <t>백화점</t>
        </is>
      </c>
      <c r="AA50" s="6" t="n"/>
      <c r="AB50" s="6" t="n"/>
      <c r="AC50" s="4" t="inlineStr">
        <is>
          <t>AI 초안 (공식 확인 전)</t>
        </is>
      </c>
      <c r="AD50" s="4" t="inlineStr">
        <is>
          <t>노트·농도 공식 확인 / 국내 정가 / 이미지 / 시향 가능 채널</t>
        </is>
      </c>
      <c r="AE50" s="6" t="inlineStr">
        <is>
          <t>보통 (앱에 표시)</t>
        </is>
      </c>
    </row>
    <row r="51">
      <c r="A51" s="4" t="inlineStr">
        <is>
          <t>tom-ford-tobacco-vanille</t>
        </is>
      </c>
      <c r="B51" s="4" t="inlineStr">
        <is>
          <t>Tom Ford</t>
        </is>
      </c>
      <c r="C51" s="5" t="inlineStr">
        <is>
          <t>톰 포드</t>
        </is>
      </c>
      <c r="D51" s="4" t="inlineStr">
        <is>
          <t>Tobacco Vanille</t>
        </is>
      </c>
      <c r="E51" s="5" t="inlineStr">
        <is>
          <t>토바코 바닐</t>
        </is>
      </c>
      <c r="F51" s="5" t="inlineStr">
        <is>
          <t>EDP</t>
        </is>
      </c>
      <c r="G51" s="5" t="inlineStr">
        <is>
          <t>Tobacco Leaf, Spices</t>
        </is>
      </c>
      <c r="H51" s="5" t="inlineStr">
        <is>
          <t>Vanilla, Cacao, Tonka Bean</t>
        </is>
      </c>
      <c r="I51" s="5" t="inlineStr">
        <is>
          <t>Dried Fruits, Woody Notes</t>
        </is>
      </c>
      <c r="J51" s="6" t="n"/>
      <c r="K51" s="5" t="inlineStr">
        <is>
          <t>leather</t>
        </is>
      </c>
      <c r="L51" s="5" t="inlineStr">
        <is>
          <t>gourmand, spicy</t>
        </is>
      </c>
      <c r="M51" s="5" t="inlineStr">
        <is>
          <t>warm, cozy, deep, sweet, sensual</t>
        </is>
      </c>
      <c r="N51" s="5" t="inlineStr">
        <is>
          <t>tooSweet, smoky</t>
        </is>
      </c>
      <c r="O51" s="5" t="inlineStr">
        <is>
          <t>strong</t>
        </is>
      </c>
      <c r="P51" s="5" t="inlineStr">
        <is>
          <t>high</t>
        </is>
      </c>
      <c r="Q51" s="5" t="inlineStr">
        <is>
          <t>가을·겨울 · 저녁</t>
        </is>
      </c>
      <c r="R51" s="5" t="inlineStr">
        <is>
          <t>달콤한 바닐라와 담뱃잎이 어우러진 깊고 진한 향</t>
        </is>
      </c>
      <c r="S51" s="5" t="inlineStr">
        <is>
          <t>시간이 지나도 달콤한 담배 향이 오래 남아요</t>
        </is>
      </c>
      <c r="T51" s="5" t="inlineStr">
        <is>
          <t>향이 매우 진하니 소량만 뿌려 맡아보세요</t>
        </is>
      </c>
      <c r="U51" s="6" t="n"/>
      <c r="V51" s="6" t="n"/>
      <c r="W51" s="6" t="n"/>
      <c r="X51" s="6" t="n"/>
      <c r="Y51" s="4" t="inlineStr">
        <is>
          <t>톰 포드 뷰티 백화점</t>
        </is>
      </c>
      <c r="Z51" s="6" t="inlineStr">
        <is>
          <t>백화점</t>
        </is>
      </c>
      <c r="AA51" s="6" t="n"/>
      <c r="AB51" s="6" t="n"/>
      <c r="AC51" s="4" t="inlineStr">
        <is>
          <t>AI 초안 (공식 확인 전)</t>
        </is>
      </c>
      <c r="AD51" s="4" t="inlineStr">
        <is>
          <t>노트·농도 공식 확인 / 국내 정가 / 이미지 / 시향 가능 채널</t>
        </is>
      </c>
      <c r="AE51" s="6" t="inlineStr">
        <is>
          <t>보통 (앱에 표시)</t>
        </is>
      </c>
    </row>
    <row r="52">
      <c r="A52" s="4" t="inlineStr">
        <is>
          <t>le-labo-another-13</t>
        </is>
      </c>
      <c r="B52" s="4" t="inlineStr">
        <is>
          <t>Le Labo</t>
        </is>
      </c>
      <c r="C52" s="5" t="inlineStr">
        <is>
          <t>르 라보</t>
        </is>
      </c>
      <c r="D52" s="4" t="inlineStr">
        <is>
          <t>Another 13</t>
        </is>
      </c>
      <c r="E52" s="5" t="inlineStr">
        <is>
          <t>어나더 13</t>
        </is>
      </c>
      <c r="F52" s="5" t="inlineStr">
        <is>
          <t>EDP</t>
        </is>
      </c>
      <c r="G52" s="5" t="inlineStr">
        <is>
          <t>Ambrette, Jasmine</t>
        </is>
      </c>
      <c r="H52" s="5" t="inlineStr">
        <is>
          <t>Oakmoss</t>
        </is>
      </c>
      <c r="I52" s="5" t="inlineStr">
        <is>
          <t>Ambroxan, Musk</t>
        </is>
      </c>
      <c r="J52" s="6" t="n"/>
      <c r="K52" s="5" t="inlineStr">
        <is>
          <t>musk</t>
        </is>
      </c>
      <c r="L52" s="5" t="inlineStr">
        <is>
          <t>whiteFloral, woody</t>
        </is>
      </c>
      <c r="M52" s="5" t="inlineStr">
        <is>
          <t>clean, soft, calm</t>
        </is>
      </c>
      <c r="N52" s="5" t="n"/>
      <c r="O52" s="5" t="inlineStr">
        <is>
          <t>medium</t>
        </is>
      </c>
      <c r="P52" s="5" t="inlineStr">
        <is>
          <t>high</t>
        </is>
      </c>
      <c r="Q52" s="5" t="inlineStr">
        <is>
          <t>사계절 · 데일리</t>
        </is>
      </c>
      <c r="R52" s="5" t="inlineStr">
        <is>
          <t>깨끗한 피부 같은 투명한 머스크 향</t>
        </is>
      </c>
      <c r="S52" s="5" t="inlineStr">
        <is>
          <t>시간이 지나도 깨끗한 머스크가 피부에 오래 남아요</t>
        </is>
      </c>
      <c r="T52" s="5" t="inlineStr">
        <is>
          <t>첫 향이 얼마나 투명한지, 머스크가 부담스럽지 않은지 맡아보세요</t>
        </is>
      </c>
      <c r="U52" s="6" t="n">
        <v>50</v>
      </c>
      <c r="V52" s="10" t="n">
        <v>319000</v>
      </c>
      <c r="W52" s="6" t="inlineStr">
        <is>
          <t>2026-10-07</t>
        </is>
      </c>
      <c r="X52" s="6" t="inlineStr">
        <is>
          <t>https://www.lelabofragrances.co.kr/another-13-747.html</t>
        </is>
      </c>
      <c r="Y52" s="4" t="inlineStr">
        <is>
          <t>르 라보 백화점</t>
        </is>
      </c>
      <c r="Z52" s="6" t="inlineStr">
        <is>
          <t>브랜드 매장</t>
        </is>
      </c>
      <c r="AA52" s="6" t="inlineStr">
        <is>
          <t>le-labo-another-13.jpg</t>
        </is>
      </c>
      <c r="AB52" s="6" t="inlineStr">
        <is>
          <t>https://www.lelabofragrances.co.kr/another-13-747.html</t>
        </is>
      </c>
      <c r="AC52" s="4" t="inlineStr">
        <is>
          <t>AI 초안 (공식 확인 전)</t>
        </is>
      </c>
      <c r="AD52" s="4" t="inlineStr">
        <is>
          <t>노트·농도 공식 확인 / 시향 가능 채널 (가격·이미지는 공식 페이지에서 반영됨)</t>
        </is>
      </c>
      <c r="AE52" s="6" t="inlineStr">
        <is>
          <t>높음 (앱에 표시)</t>
        </is>
      </c>
    </row>
    <row r="53">
      <c r="A53" s="4" t="inlineStr">
        <is>
          <t>le-labo-rose-31</t>
        </is>
      </c>
      <c r="B53" s="4" t="inlineStr">
        <is>
          <t>Le Labo</t>
        </is>
      </c>
      <c r="C53" s="5" t="inlineStr">
        <is>
          <t>르 라보</t>
        </is>
      </c>
      <c r="D53" s="4" t="inlineStr">
        <is>
          <t>Rose 31</t>
        </is>
      </c>
      <c r="E53" s="5" t="inlineStr">
        <is>
          <t>로즈 31</t>
        </is>
      </c>
      <c r="F53" s="5" t="inlineStr">
        <is>
          <t>EDP</t>
        </is>
      </c>
      <c r="G53" s="5" t="inlineStr">
        <is>
          <t>Rose, Cumin</t>
        </is>
      </c>
      <c r="H53" s="5" t="inlineStr">
        <is>
          <t>Cedar, Guaiac Wood</t>
        </is>
      </c>
      <c r="I53" s="5" t="inlineStr">
        <is>
          <t>Incense, Amber, Oud</t>
        </is>
      </c>
      <c r="J53" s="6" t="n"/>
      <c r="K53" s="5" t="inlineStr">
        <is>
          <t>floral</t>
        </is>
      </c>
      <c r="L53" s="5" t="inlineStr">
        <is>
          <t>woody, spicy, leather</t>
        </is>
      </c>
      <c r="M53" s="5" t="inlineStr">
        <is>
          <t>elegant, deep, warm, sensual</t>
        </is>
      </c>
      <c r="N53" s="5" t="inlineStr">
        <is>
          <t>spicy, smoky</t>
        </is>
      </c>
      <c r="O53" s="5" t="inlineStr">
        <is>
          <t>strong</t>
        </is>
      </c>
      <c r="P53" s="5" t="inlineStr">
        <is>
          <t>high</t>
        </is>
      </c>
      <c r="Q53" s="5" t="inlineStr">
        <is>
          <t>가을·겨울 · 저녁</t>
        </is>
      </c>
      <c r="R53" s="5" t="inlineStr">
        <is>
          <t>장미에 향신료와 연기를 더한 어둡고 진한 향</t>
        </is>
      </c>
      <c r="S53" s="5" t="inlineStr">
        <is>
          <t>시간이 지나도 스모키한 나무 향이 길게 남아요</t>
        </is>
      </c>
      <c r="T53" s="5" t="inlineStr">
        <is>
          <t>장미 향이 달콤하지 않고 스모키한지 확인해 보세요</t>
        </is>
      </c>
      <c r="U53" s="6" t="n">
        <v>50</v>
      </c>
      <c r="V53" s="10" t="n">
        <v>319000</v>
      </c>
      <c r="W53" s="6" t="inlineStr">
        <is>
          <t>2026-10-07</t>
        </is>
      </c>
      <c r="X53" s="6" t="inlineStr">
        <is>
          <t>https://www.lelabofragrances.co.kr/rose-31-962.html</t>
        </is>
      </c>
      <c r="Y53" s="4" t="inlineStr">
        <is>
          <t>르 라보 백화점</t>
        </is>
      </c>
      <c r="Z53" s="6" t="inlineStr">
        <is>
          <t>브랜드 매장</t>
        </is>
      </c>
      <c r="AA53" s="6" t="inlineStr">
        <is>
          <t>le-labo-rose-31.jpg</t>
        </is>
      </c>
      <c r="AB53" s="6" t="inlineStr">
        <is>
          <t>https://www.lelabofragrances.co.kr/rose-31-962.html</t>
        </is>
      </c>
      <c r="AC53" s="4" t="inlineStr">
        <is>
          <t>AI 초안 (공식 확인 전)</t>
        </is>
      </c>
      <c r="AD53" s="4" t="inlineStr">
        <is>
          <t>노트·농도 공식 확인 / 시향 가능 채널 (가격·이미지는 공식 페이지에서 반영됨)</t>
        </is>
      </c>
      <c r="AE53" s="6" t="inlineStr">
        <is>
          <t>높음 (앱에 표시)</t>
        </is>
      </c>
    </row>
    <row r="54">
      <c r="A54" s="4" t="inlineStr">
        <is>
          <t>le-labo-the-noir-29</t>
        </is>
      </c>
      <c r="B54" s="4" t="inlineStr">
        <is>
          <t>Le Labo</t>
        </is>
      </c>
      <c r="C54" s="5" t="inlineStr">
        <is>
          <t>르 라보</t>
        </is>
      </c>
      <c r="D54" s="4" t="inlineStr">
        <is>
          <t>Thé Noir 29</t>
        </is>
      </c>
      <c r="E54" s="5" t="inlineStr">
        <is>
          <t>떼 누아 29</t>
        </is>
      </c>
      <c r="F54" s="5" t="inlineStr">
        <is>
          <t>EDP</t>
        </is>
      </c>
      <c r="G54" s="5" t="inlineStr">
        <is>
          <t>Bergamot, Fig</t>
        </is>
      </c>
      <c r="H54" s="5" t="inlineStr">
        <is>
          <t>Tea, Tobacco Leaf</t>
        </is>
      </c>
      <c r="I54" s="5" t="inlineStr">
        <is>
          <t>Vetiver, Cedar, Musk</t>
        </is>
      </c>
      <c r="J54" s="6" t="n"/>
      <c r="K54" s="5" t="inlineStr">
        <is>
          <t>green</t>
        </is>
      </c>
      <c r="L54" s="5" t="inlineStr">
        <is>
          <t>leather, woody</t>
        </is>
      </c>
      <c r="M54" s="5" t="inlineStr">
        <is>
          <t>calm, cozy, deep</t>
        </is>
      </c>
      <c r="N54" s="5" t="inlineStr">
        <is>
          <t>smoky</t>
        </is>
      </c>
      <c r="O54" s="5" t="inlineStr">
        <is>
          <t>medium</t>
        </is>
      </c>
      <c r="P54" s="5" t="inlineStr">
        <is>
          <t>mid</t>
        </is>
      </c>
      <c r="Q54" s="5" t="inlineStr">
        <is>
          <t>가을·겨울 · 휴식</t>
        </is>
      </c>
      <c r="R54" s="5" t="inlineStr">
        <is>
          <t>홍차와 무화과, 담뱃잎이 어우러진 차분한 향</t>
        </is>
      </c>
      <c r="S54" s="5" t="inlineStr">
        <is>
          <t>시간이 지나면 차분한 나무와 머스크가 남아요</t>
        </is>
      </c>
      <c r="T54" s="5" t="inlineStr">
        <is>
          <t>홍차 향이 담배 느낌으로 이어지는지 맡아보세요</t>
        </is>
      </c>
      <c r="U54" s="6" t="n">
        <v>50</v>
      </c>
      <c r="V54" s="10" t="n">
        <v>319000</v>
      </c>
      <c r="W54" s="6" t="inlineStr">
        <is>
          <t>2026-10-07</t>
        </is>
      </c>
      <c r="X54" s="6" t="inlineStr">
        <is>
          <t>https://www.lelabofragrances.co.kr/th-noir-29-1003.html</t>
        </is>
      </c>
      <c r="Y54" s="4" t="inlineStr">
        <is>
          <t>르 라보 백화점</t>
        </is>
      </c>
      <c r="Z54" s="6" t="inlineStr">
        <is>
          <t>브랜드 매장</t>
        </is>
      </c>
      <c r="AA54" s="6" t="inlineStr">
        <is>
          <t>le-labo-the-noir-29.jpg</t>
        </is>
      </c>
      <c r="AB54" s="6" t="inlineStr">
        <is>
          <t>https://www.lelabofragrances.co.kr/th-noir-29-1003.html</t>
        </is>
      </c>
      <c r="AC54" s="4" t="inlineStr">
        <is>
          <t>AI 초안 (공식 확인 전)</t>
        </is>
      </c>
      <c r="AD54" s="4" t="inlineStr">
        <is>
          <t>노트·농도 공식 확인 / 시향 가능 채널 (가격·이미지는 공식 페이지에서 반영됨)</t>
        </is>
      </c>
      <c r="AE54" s="6" t="inlineStr">
        <is>
          <t>높음 (앱에 표시)</t>
        </is>
      </c>
    </row>
    <row r="55">
      <c r="A55" s="4" t="inlineStr">
        <is>
          <t>le-labo-bergamote-22</t>
        </is>
      </c>
      <c r="B55" s="4" t="inlineStr">
        <is>
          <t>Le Labo</t>
        </is>
      </c>
      <c r="C55" s="5" t="inlineStr">
        <is>
          <t>르 라보</t>
        </is>
      </c>
      <c r="D55" s="4" t="inlineStr">
        <is>
          <t>Bergamote 22</t>
        </is>
      </c>
      <c r="E55" s="5" t="inlineStr">
        <is>
          <t>베르가못 22</t>
        </is>
      </c>
      <c r="F55" s="5" t="inlineStr">
        <is>
          <t>EDP</t>
        </is>
      </c>
      <c r="G55" s="5" t="inlineStr">
        <is>
          <t>Bergamot, Grapefruit</t>
        </is>
      </c>
      <c r="H55" s="5" t="inlineStr">
        <is>
          <t>Orange Blossom</t>
        </is>
      </c>
      <c r="I55" s="5" t="inlineStr">
        <is>
          <t>Cedar, Musk, Amber</t>
        </is>
      </c>
      <c r="J55" s="6" t="n"/>
      <c r="K55" s="5" t="inlineStr">
        <is>
          <t>citrus</t>
        </is>
      </c>
      <c r="L55" s="5" t="inlineStr">
        <is>
          <t>musk</t>
        </is>
      </c>
      <c r="M55" s="5" t="inlineStr">
        <is>
          <t>fresh, zesty, clean, cool</t>
        </is>
      </c>
      <c r="N55" s="5" t="n"/>
      <c r="O55" s="5" t="inlineStr">
        <is>
          <t>medium</t>
        </is>
      </c>
      <c r="P55" s="5" t="inlineStr">
        <is>
          <t>low</t>
        </is>
      </c>
      <c r="Q55" s="5" t="inlineStr">
        <is>
          <t>봄·여름 · 데일리</t>
        </is>
      </c>
      <c r="R55" s="5" t="inlineStr">
        <is>
          <t>깔끔한 베르가못에 머스크가 감싸는 향</t>
        </is>
      </c>
      <c r="S55" s="5" t="inlineStr">
        <is>
          <t>몇 시간 뒤엔 부드러운 머스크와 나무 향이 남아요</t>
        </is>
      </c>
      <c r="T55" s="5" t="inlineStr">
        <is>
          <t>시트러스가 오래 가는지 확인해 보세요</t>
        </is>
      </c>
      <c r="U55" s="6" t="n">
        <v>50</v>
      </c>
      <c r="V55" s="10" t="n">
        <v>319000</v>
      </c>
      <c r="W55" s="6" t="inlineStr">
        <is>
          <t>2026-10-07</t>
        </is>
      </c>
      <c r="X55" s="6" t="inlineStr">
        <is>
          <t>https://www.lelabofragrances.co.kr/bergamote-22-771.html</t>
        </is>
      </c>
      <c r="Y55" s="4" t="inlineStr">
        <is>
          <t>르 라보 백화점</t>
        </is>
      </c>
      <c r="Z55" s="6" t="inlineStr">
        <is>
          <t>브랜드 매장</t>
        </is>
      </c>
      <c r="AA55" s="6" t="inlineStr">
        <is>
          <t>le-labo-bergamote-22.jpg</t>
        </is>
      </c>
      <c r="AB55" s="6" t="inlineStr">
        <is>
          <t>https://www.lelabofragrances.co.kr/bergamote-22-771.html</t>
        </is>
      </c>
      <c r="AC55" s="4" t="inlineStr">
        <is>
          <t>AI 초안 (공식 확인 전)</t>
        </is>
      </c>
      <c r="AD55" s="4" t="inlineStr">
        <is>
          <t>노트·농도 공식 확인 / 시향 가능 채널 (가격·이미지는 공식 페이지에서 반영됨)</t>
        </is>
      </c>
      <c r="AE55" s="6" t="inlineStr">
        <is>
          <t>높음 (앱에 표시)</t>
        </is>
      </c>
    </row>
    <row r="56">
      <c r="A56" s="4" t="inlineStr">
        <is>
          <t>kilian-love-dont-be-shy</t>
        </is>
      </c>
      <c r="B56" s="4" t="inlineStr">
        <is>
          <t>Kilian Paris</t>
        </is>
      </c>
      <c r="C56" s="5" t="inlineStr">
        <is>
          <t>킬리안 파리</t>
        </is>
      </c>
      <c r="D56" s="4" t="inlineStr">
        <is>
          <t>Love, Don't Be Shy</t>
        </is>
      </c>
      <c r="E56" s="5" t="inlineStr">
        <is>
          <t>러브 돈트 비 샤이</t>
        </is>
      </c>
      <c r="F56" s="5" t="inlineStr">
        <is>
          <t>EDP</t>
        </is>
      </c>
      <c r="G56" s="5" t="inlineStr">
        <is>
          <t>Neroli, Orange Blossom</t>
        </is>
      </c>
      <c r="H56" s="5" t="inlineStr">
        <is>
          <t>Rose, Marshmallow</t>
        </is>
      </c>
      <c r="I56" s="5" t="inlineStr">
        <is>
          <t>Vanilla, Musk</t>
        </is>
      </c>
      <c r="J56" s="6" t="n"/>
      <c r="K56" s="5" t="inlineStr">
        <is>
          <t>gourmand</t>
        </is>
      </c>
      <c r="L56" s="5" t="inlineStr">
        <is>
          <t>whiteFloral</t>
        </is>
      </c>
      <c r="M56" s="5" t="inlineStr">
        <is>
          <t>sweet, soft, cozy, warm, lovely</t>
        </is>
      </c>
      <c r="N56" s="5" t="inlineStr">
        <is>
          <t>tooSweet</t>
        </is>
      </c>
      <c r="O56" s="5" t="inlineStr">
        <is>
          <t>strong</t>
        </is>
      </c>
      <c r="P56" s="5" t="inlineStr">
        <is>
          <t>mid</t>
        </is>
      </c>
      <c r="Q56" s="5" t="inlineStr">
        <is>
          <t>가을·겨울 · 데이트</t>
        </is>
      </c>
      <c r="R56" s="5" t="inlineStr">
        <is>
          <t>마시멜로처럼 폭신하고 달콤한 꽃 향</t>
        </is>
      </c>
      <c r="S56" s="5" t="inlineStr">
        <is>
          <t>시간이 지나도 달콤한 바닐라 머스크가 길게 남아요</t>
        </is>
      </c>
      <c r="T56" s="5" t="inlineStr">
        <is>
          <t>설탕 같은 달콤함이 부담스럽지 않은지 확인해 보세요</t>
        </is>
      </c>
      <c r="U56" s="6" t="n"/>
      <c r="V56" s="6" t="n"/>
      <c r="W56" s="6" t="n"/>
      <c r="X56" s="6" t="n"/>
      <c r="Y56" s="4" t="inlineStr">
        <is>
          <t>킬리안 파리 백화점</t>
        </is>
      </c>
      <c r="Z56" s="6" t="inlineStr">
        <is>
          <t>백화점</t>
        </is>
      </c>
      <c r="AA56" s="6" t="n"/>
      <c r="AB56" s="6" t="n"/>
      <c r="AC56" s="4" t="inlineStr">
        <is>
          <t>AI 초안 (공식 확인 전)</t>
        </is>
      </c>
      <c r="AD56" s="4" t="inlineStr">
        <is>
          <t>노트·농도 공식 확인 / 국내 정가 / 이미지 / 시향 가능 채널</t>
        </is>
      </c>
      <c r="AE56" s="6" t="inlineStr">
        <is>
          <t>낮음 (앱에 표시 안 함)</t>
        </is>
      </c>
    </row>
    <row r="57">
      <c r="A57" s="4" t="inlineStr">
        <is>
          <t>kilian-black-phantom</t>
        </is>
      </c>
      <c r="B57" s="4" t="inlineStr">
        <is>
          <t>Kilian Paris</t>
        </is>
      </c>
      <c r="C57" s="5" t="inlineStr">
        <is>
          <t>킬리안 파리</t>
        </is>
      </c>
      <c r="D57" s="4" t="inlineStr">
        <is>
          <t>Black Phantom</t>
        </is>
      </c>
      <c r="E57" s="5" t="inlineStr">
        <is>
          <t>블랙 팬텀</t>
        </is>
      </c>
      <c r="F57" s="5" t="inlineStr">
        <is>
          <t>EDP</t>
        </is>
      </c>
      <c r="G57" s="5" t="inlineStr">
        <is>
          <t>Rum, Coffee</t>
        </is>
      </c>
      <c r="H57" s="5" t="inlineStr">
        <is>
          <t>Cacao, Caramel</t>
        </is>
      </c>
      <c r="I57" s="5" t="inlineStr">
        <is>
          <t>Sandalwood, Musk, Vanilla</t>
        </is>
      </c>
      <c r="J57" s="6" t="n"/>
      <c r="K57" s="5" t="inlineStr">
        <is>
          <t>gourmand</t>
        </is>
      </c>
      <c r="L57" s="5" t="inlineStr">
        <is>
          <t>woody, leather</t>
        </is>
      </c>
      <c r="M57" s="5" t="inlineStr">
        <is>
          <t>sweet, deep, warm, sensual, cozy</t>
        </is>
      </c>
      <c r="N57" s="5" t="inlineStr">
        <is>
          <t>tooSweet</t>
        </is>
      </c>
      <c r="O57" s="5" t="inlineStr">
        <is>
          <t>strong</t>
        </is>
      </c>
      <c r="P57" s="5" t="inlineStr">
        <is>
          <t>high</t>
        </is>
      </c>
      <c r="Q57" s="5" t="inlineStr">
        <is>
          <t>가을·겨울 · 저녁</t>
        </is>
      </c>
      <c r="R57" s="5" t="inlineStr">
        <is>
          <t>럼과 커피, 초콜릿이 어우러진 진하고 달콤한 향</t>
        </is>
      </c>
      <c r="S57" s="5" t="inlineStr">
        <is>
          <t>시간이 지나도 달콤한 우디 향이 오래 남아요</t>
        </is>
      </c>
      <c r="T57" s="5" t="inlineStr">
        <is>
          <t>달콤함과 쌉쌀함의 균형을 맡아보세요</t>
        </is>
      </c>
      <c r="U57" s="6" t="n"/>
      <c r="V57" s="6" t="n"/>
      <c r="W57" s="6" t="n"/>
      <c r="X57" s="6" t="n"/>
      <c r="Y57" s="4" t="inlineStr">
        <is>
          <t>킬리안 파리 백화점</t>
        </is>
      </c>
      <c r="Z57" s="6" t="inlineStr">
        <is>
          <t>백화점</t>
        </is>
      </c>
      <c r="AA57" s="6" t="n"/>
      <c r="AB57" s="6" t="n"/>
      <c r="AC57" s="4" t="inlineStr">
        <is>
          <t>AI 초안 (공식 확인 전)</t>
        </is>
      </c>
      <c r="AD57" s="4" t="inlineStr">
        <is>
          <t>노트·농도 공식 확인 / 국내 정가 / 이미지 / 시향 가능 채널</t>
        </is>
      </c>
      <c r="AE57" s="6" t="inlineStr">
        <is>
          <t>낮음 (앱에 표시 안 함)</t>
        </is>
      </c>
    </row>
    <row r="58">
      <c r="A58" s="4" t="inlineStr">
        <is>
          <t>creed-aventus</t>
        </is>
      </c>
      <c r="B58" s="4" t="inlineStr">
        <is>
          <t>Creed</t>
        </is>
      </c>
      <c r="C58" s="5" t="inlineStr">
        <is>
          <t>크리드</t>
        </is>
      </c>
      <c r="D58" s="4" t="inlineStr">
        <is>
          <t>Aventus</t>
        </is>
      </c>
      <c r="E58" s="5" t="inlineStr">
        <is>
          <t>어벤투스</t>
        </is>
      </c>
      <c r="F58" s="5" t="inlineStr">
        <is>
          <t>EDP</t>
        </is>
      </c>
      <c r="G58" s="5" t="inlineStr">
        <is>
          <t>Bergamot, Blackcurrant, Apple, Pineapple</t>
        </is>
      </c>
      <c r="H58" s="5" t="inlineStr">
        <is>
          <t>Jasmine, Birch, Patchouli</t>
        </is>
      </c>
      <c r="I58" s="5" t="inlineStr">
        <is>
          <t>Oakmoss, Musk, Ambergris, Vanilla</t>
        </is>
      </c>
      <c r="J58" s="6" t="n"/>
      <c r="K58" s="5" t="inlineStr">
        <is>
          <t>fruity</t>
        </is>
      </c>
      <c r="L58" s="5" t="inlineStr">
        <is>
          <t>woody, musk</t>
        </is>
      </c>
      <c r="M58" s="5" t="inlineStr">
        <is>
          <t>fresh, elegant, sweet, deep</t>
        </is>
      </c>
      <c r="N58" s="5" t="inlineStr">
        <is>
          <t>smoky</t>
        </is>
      </c>
      <c r="O58" s="5" t="inlineStr">
        <is>
          <t>strong</t>
        </is>
      </c>
      <c r="P58" s="5" t="inlineStr">
        <is>
          <t>mid</t>
        </is>
      </c>
      <c r="Q58" s="5" t="inlineStr">
        <is>
          <t>사계절 · 격식</t>
        </is>
      </c>
      <c r="R58" s="5" t="inlineStr">
        <is>
          <t>파인애플과 스모키한 나무 향이 어우러진 자신감 있는 향</t>
        </is>
      </c>
      <c r="S58" s="5" t="inlineStr">
        <is>
          <t>시간이 지나면 이끼와 머스크가 깔끔하게 남아요</t>
        </is>
      </c>
      <c r="T58" s="5" t="inlineStr">
        <is>
          <t>첫 향의 파인애플이 스모키하게 변하는 흐름을 맡아보세요</t>
        </is>
      </c>
      <c r="U58" s="6" t="n"/>
      <c r="V58" s="6" t="n"/>
      <c r="W58" s="6" t="n"/>
      <c r="X58" s="6" t="n"/>
      <c r="Y58" s="4" t="inlineStr">
        <is>
          <t>크리드 백화점</t>
        </is>
      </c>
      <c r="Z58" s="6" t="inlineStr">
        <is>
          <t>면세점</t>
        </is>
      </c>
      <c r="AA58" s="6" t="n"/>
      <c r="AB58" s="6" t="n"/>
      <c r="AC58" s="4" t="inlineStr">
        <is>
          <t>AI 초안 (공식 확인 전)</t>
        </is>
      </c>
      <c r="AD58" s="4" t="inlineStr">
        <is>
          <t>노트·농도 공식 확인 / 국내 정가 / 이미지 / 시향 가능 채널</t>
        </is>
      </c>
      <c r="AE58" s="6" t="inlineStr">
        <is>
          <t>낮음 (앱에 표시 안 함)</t>
        </is>
      </c>
    </row>
    <row r="59">
      <c r="A59" s="4" t="inlineStr">
        <is>
          <t>creed-green-irish-tweed</t>
        </is>
      </c>
      <c r="B59" s="4" t="inlineStr">
        <is>
          <t>Creed</t>
        </is>
      </c>
      <c r="C59" s="5" t="inlineStr">
        <is>
          <t>크리드</t>
        </is>
      </c>
      <c r="D59" s="4" t="inlineStr">
        <is>
          <t>Green Irish Tweed</t>
        </is>
      </c>
      <c r="E59" s="5" t="inlineStr">
        <is>
          <t>그린 아이리시 트위드</t>
        </is>
      </c>
      <c r="F59" s="5" t="inlineStr">
        <is>
          <t>EDP</t>
        </is>
      </c>
      <c r="G59" s="5" t="inlineStr">
        <is>
          <t>Lemon, Verbena</t>
        </is>
      </c>
      <c r="H59" s="5" t="inlineStr">
        <is>
          <t>Iris, Violet Leaf</t>
        </is>
      </c>
      <c r="I59" s="5" t="inlineStr">
        <is>
          <t>Sandalwood, Ambergris, Musk</t>
        </is>
      </c>
      <c r="J59" s="6" t="n"/>
      <c r="K59" s="5" t="inlineStr">
        <is>
          <t>green</t>
        </is>
      </c>
      <c r="L59" s="5" t="inlineStr">
        <is>
          <t>citrus, aromatic</t>
        </is>
      </c>
      <c r="M59" s="5" t="inlineStr">
        <is>
          <t>fresh, cool, clean</t>
        </is>
      </c>
      <c r="N59" s="5" t="n"/>
      <c r="O59" s="5" t="inlineStr">
        <is>
          <t>medium</t>
        </is>
      </c>
      <c r="P59" s="5" t="inlineStr">
        <is>
          <t>low</t>
        </is>
      </c>
      <c r="Q59" s="5" t="inlineStr">
        <is>
          <t>봄·여름 · 출근</t>
        </is>
      </c>
      <c r="R59" s="5" t="inlineStr">
        <is>
          <t>아침 풀밭 같은 싱그럽고 깨끗한 초록 향</t>
        </is>
      </c>
      <c r="S59" s="5" t="inlineStr">
        <is>
          <t>몇 시간 뒤엔 부드러운 나무와 머스크가 남아요</t>
        </is>
      </c>
      <c r="T59" s="5" t="inlineStr">
        <is>
          <t>레몬 버베나의 풋풋함이 얼마나 가는지 확인해 보세요</t>
        </is>
      </c>
      <c r="U59" s="6" t="n"/>
      <c r="V59" s="6" t="n"/>
      <c r="W59" s="6" t="n"/>
      <c r="X59" s="6" t="n"/>
      <c r="Y59" s="4" t="inlineStr">
        <is>
          <t>크리드 백화점</t>
        </is>
      </c>
      <c r="Z59" s="6" t="inlineStr">
        <is>
          <t>면세점</t>
        </is>
      </c>
      <c r="AA59" s="6" t="n"/>
      <c r="AB59" s="6" t="n"/>
      <c r="AC59" s="4" t="inlineStr">
        <is>
          <t>AI 초안 (공식 확인 전)</t>
        </is>
      </c>
      <c r="AD59" s="4" t="inlineStr">
        <is>
          <t>노트·농도 공식 확인 / 국내 정가 / 이미지 / 시향 가능 채널</t>
        </is>
      </c>
      <c r="AE59" s="6" t="inlineStr">
        <is>
          <t>낮음 (앱에 표시 안 함)</t>
        </is>
      </c>
    </row>
    <row r="60">
      <c r="A60" s="4" t="inlineStr">
        <is>
          <t>creed-silver-mountain-water</t>
        </is>
      </c>
      <c r="B60" s="4" t="inlineStr">
        <is>
          <t>Creed</t>
        </is>
      </c>
      <c r="C60" s="5" t="inlineStr">
        <is>
          <t>크리드</t>
        </is>
      </c>
      <c r="D60" s="4" t="inlineStr">
        <is>
          <t>Silver Mountain Water</t>
        </is>
      </c>
      <c r="E60" s="5" t="inlineStr">
        <is>
          <t>실버 마운틴 워터</t>
        </is>
      </c>
      <c r="F60" s="5" t="inlineStr">
        <is>
          <t>EDP</t>
        </is>
      </c>
      <c r="G60" s="5" t="inlineStr">
        <is>
          <t>Bergamot, Mandarin</t>
        </is>
      </c>
      <c r="H60" s="5" t="inlineStr">
        <is>
          <t>Green Tea, Blackcurrant</t>
        </is>
      </c>
      <c r="I60" s="5" t="inlineStr">
        <is>
          <t>Sandalwood, Musk</t>
        </is>
      </c>
      <c r="J60" s="6" t="n"/>
      <c r="K60" s="5" t="inlineStr">
        <is>
          <t>aqua</t>
        </is>
      </c>
      <c r="L60" s="5" t="inlineStr">
        <is>
          <t>citrus, green</t>
        </is>
      </c>
      <c r="M60" s="5" t="inlineStr">
        <is>
          <t>cool, fresh, clean</t>
        </is>
      </c>
      <c r="N60" s="5" t="n"/>
      <c r="O60" s="5" t="inlineStr">
        <is>
          <t>medium</t>
        </is>
      </c>
      <c r="P60" s="5" t="inlineStr">
        <is>
          <t>low</t>
        </is>
      </c>
      <c r="Q60" s="5" t="inlineStr">
        <is>
          <t>여름 · 데일리</t>
        </is>
      </c>
      <c r="R60" s="5" t="inlineStr">
        <is>
          <t>눈 덮인 산의 맑은 물 같은 시원하고 투명한 향</t>
        </is>
      </c>
      <c r="S60" s="5" t="inlineStr">
        <is>
          <t>시간이 지나면 깨끗한 머스크와 나무 향이 남아요</t>
        </is>
      </c>
      <c r="T60" s="5" t="inlineStr">
        <is>
          <t>시원한 첫 향이 차 향으로 이어지는지 맡아보세요</t>
        </is>
      </c>
      <c r="U60" s="6" t="n"/>
      <c r="V60" s="6" t="n"/>
      <c r="W60" s="6" t="n"/>
      <c r="X60" s="6" t="n"/>
      <c r="Y60" s="4" t="inlineStr">
        <is>
          <t>크리드 백화점</t>
        </is>
      </c>
      <c r="Z60" s="6" t="inlineStr">
        <is>
          <t>면세점</t>
        </is>
      </c>
      <c r="AA60" s="6" t="n"/>
      <c r="AB60" s="6" t="n"/>
      <c r="AC60" s="4" t="inlineStr">
        <is>
          <t>AI 초안 (공식 확인 전)</t>
        </is>
      </c>
      <c r="AD60" s="4" t="inlineStr">
        <is>
          <t>노트·농도 공식 확인 / 국내 정가 / 이미지 / 시향 가능 채널</t>
        </is>
      </c>
      <c r="AE60" s="6" t="inlineStr">
        <is>
          <t>낮음 (앱에 표시 안 함)</t>
        </is>
      </c>
    </row>
    <row r="61">
      <c r="A61" s="4" t="inlineStr">
        <is>
          <t>creed-millesime-imperial</t>
        </is>
      </c>
      <c r="B61" s="4" t="inlineStr">
        <is>
          <t>Creed</t>
        </is>
      </c>
      <c r="C61" s="5" t="inlineStr">
        <is>
          <t>크리드</t>
        </is>
      </c>
      <c r="D61" s="4" t="inlineStr">
        <is>
          <t>Millésime Impérial</t>
        </is>
      </c>
      <c r="E61" s="5" t="inlineStr">
        <is>
          <t>밀레짐 임페리얼</t>
        </is>
      </c>
      <c r="F61" s="5" t="inlineStr">
        <is>
          <t>EDP</t>
        </is>
      </c>
      <c r="G61" s="5" t="inlineStr">
        <is>
          <t>Bergamot, Lemon, Mandarin</t>
        </is>
      </c>
      <c r="H61" s="5" t="inlineStr">
        <is>
          <t>Sea Notes, Iris</t>
        </is>
      </c>
      <c r="I61" s="5" t="inlineStr">
        <is>
          <t>Musk, Sandalwood, Ambergris</t>
        </is>
      </c>
      <c r="J61" s="6" t="n"/>
      <c r="K61" s="5" t="inlineStr">
        <is>
          <t>aqua</t>
        </is>
      </c>
      <c r="L61" s="5" t="inlineStr">
        <is>
          <t>citrus</t>
        </is>
      </c>
      <c r="M61" s="5" t="inlineStr">
        <is>
          <t>fresh, cool, clean, elegant</t>
        </is>
      </c>
      <c r="N61" s="5" t="n"/>
      <c r="O61" s="5" t="inlineStr">
        <is>
          <t>medium</t>
        </is>
      </c>
      <c r="P61" s="5" t="inlineStr">
        <is>
          <t>low</t>
        </is>
      </c>
      <c r="Q61" s="5" t="inlineStr">
        <is>
          <t>여름 · 출근</t>
        </is>
      </c>
      <c r="R61" s="5" t="inlineStr">
        <is>
          <t>햇살 아래 바다를 떠올리는 시트러스 향</t>
        </is>
      </c>
      <c r="S61" s="5" t="inlineStr">
        <is>
          <t>몇 시간 뒤엔 깨끗한 머스크와 가벼운 나무 향이 남아요</t>
        </is>
      </c>
      <c r="T61" s="5" t="inlineStr">
        <is>
          <t>시트러스와 바다 향의 균형을 맡아보세요</t>
        </is>
      </c>
      <c r="U61" s="6" t="n"/>
      <c r="V61" s="6" t="n"/>
      <c r="W61" s="6" t="n"/>
      <c r="X61" s="6" t="n"/>
      <c r="Y61" s="4" t="inlineStr">
        <is>
          <t>크리드 백화점</t>
        </is>
      </c>
      <c r="Z61" s="6" t="inlineStr">
        <is>
          <t>면세점</t>
        </is>
      </c>
      <c r="AA61" s="6" t="n"/>
      <c r="AB61" s="6" t="n"/>
      <c r="AC61" s="4" t="inlineStr">
        <is>
          <t>AI 초안 (공식 확인 전)</t>
        </is>
      </c>
      <c r="AD61" s="4" t="inlineStr">
        <is>
          <t>노트·농도 공식 확인 / 국내 정가 / 이미지 / 시향 가능 채널</t>
        </is>
      </c>
      <c r="AE61" s="6" t="inlineStr">
        <is>
          <t>낮음 (앱에 표시 안 함)</t>
        </is>
      </c>
    </row>
    <row r="62">
      <c r="A62" s="4" t="inlineStr">
        <is>
          <t>frederic-malle-portrait-of-a-lady</t>
        </is>
      </c>
      <c r="B62" s="4" t="inlineStr">
        <is>
          <t>Frédéric Malle</t>
        </is>
      </c>
      <c r="C62" s="5" t="inlineStr">
        <is>
          <t>프레데릭 말</t>
        </is>
      </c>
      <c r="D62" s="4" t="inlineStr">
        <is>
          <t>Portrait of a Lady</t>
        </is>
      </c>
      <c r="E62" s="5" t="inlineStr">
        <is>
          <t>포트레이트 오브 어 레이디</t>
        </is>
      </c>
      <c r="F62" s="5" t="inlineStr">
        <is>
          <t>EDP</t>
        </is>
      </c>
      <c r="G62" s="5" t="inlineStr">
        <is>
          <t>Rose, Blackcurrant, Raspberry</t>
        </is>
      </c>
      <c r="H62" s="5" t="inlineStr">
        <is>
          <t>Cinnamon, Clove</t>
        </is>
      </c>
      <c r="I62" s="5" t="inlineStr">
        <is>
          <t>Patchouli, Incense, Sandalwood, Musk, Benzoin</t>
        </is>
      </c>
      <c r="J62" s="6" t="n"/>
      <c r="K62" s="5" t="inlineStr">
        <is>
          <t>floral</t>
        </is>
      </c>
      <c r="L62" s="5" t="inlineStr">
        <is>
          <t>spicy, woody, amber</t>
        </is>
      </c>
      <c r="M62" s="5" t="inlineStr">
        <is>
          <t>elegant, deep, warm, sensual</t>
        </is>
      </c>
      <c r="N62" s="5" t="inlineStr">
        <is>
          <t>heavyFloral, spicy, smoky</t>
        </is>
      </c>
      <c r="O62" s="5" t="inlineStr">
        <is>
          <t>strong</t>
        </is>
      </c>
      <c r="P62" s="5" t="inlineStr">
        <is>
          <t>high</t>
        </is>
      </c>
      <c r="Q62" s="5" t="inlineStr">
        <is>
          <t>가을·겨울 · 격식</t>
        </is>
      </c>
      <c r="R62" s="5" t="inlineStr">
        <is>
          <t>깊고 진한 장미에 향신료와 인센스가 어우러진 향</t>
        </is>
      </c>
      <c r="S62" s="5" t="inlineStr">
        <is>
          <t>시간이 지나도 장미와 패출리가 아주 오래 남아요</t>
        </is>
      </c>
      <c r="T62" s="5" t="inlineStr">
        <is>
          <t>진한 장미 향이 부담스럽지 않은지 맡아보세요</t>
        </is>
      </c>
      <c r="U62" s="6" t="n"/>
      <c r="V62" s="6" t="n"/>
      <c r="W62" s="6" t="n"/>
      <c r="X62" s="6" t="n"/>
      <c r="Y62" s="4" t="inlineStr">
        <is>
          <t>프레데릭 말 백화점</t>
        </is>
      </c>
      <c r="Z62" s="6" t="inlineStr">
        <is>
          <t>면세점</t>
        </is>
      </c>
      <c r="AA62" s="6" t="n"/>
      <c r="AB62" s="6" t="n"/>
      <c r="AC62" s="4" t="inlineStr">
        <is>
          <t>AI 초안 (공식 확인 전)</t>
        </is>
      </c>
      <c r="AD62" s="4" t="inlineStr">
        <is>
          <t>노트·농도 공식 확인 / 국내 정가 / 이미지 / 시향 가능 채널</t>
        </is>
      </c>
      <c r="AE62" s="6" t="inlineStr">
        <is>
          <t>낮음 (앱에 표시 안 함)</t>
        </is>
      </c>
    </row>
    <row r="63">
      <c r="A63" s="4" t="inlineStr">
        <is>
          <t>frederic-malle-musc-ravageur</t>
        </is>
      </c>
      <c r="B63" s="4" t="inlineStr">
        <is>
          <t>Frédéric Malle</t>
        </is>
      </c>
      <c r="C63" s="5" t="inlineStr">
        <is>
          <t>프레데릭 말</t>
        </is>
      </c>
      <c r="D63" s="4" t="inlineStr">
        <is>
          <t>Musc Ravageur</t>
        </is>
      </c>
      <c r="E63" s="5" t="inlineStr">
        <is>
          <t>뮈스크 라바쥐르</t>
        </is>
      </c>
      <c r="F63" s="5" t="inlineStr">
        <is>
          <t>EDP</t>
        </is>
      </c>
      <c r="G63" s="5" t="inlineStr">
        <is>
          <t>Bergamot, Mandarin, Lavender</t>
        </is>
      </c>
      <c r="H63" s="5" t="inlineStr">
        <is>
          <t>Cinnamon, Clove</t>
        </is>
      </c>
      <c r="I63" s="5" t="inlineStr">
        <is>
          <t>Musk, Vanilla, Sandalwood, Amber, Cedar</t>
        </is>
      </c>
      <c r="J63" s="6" t="n"/>
      <c r="K63" s="5" t="inlineStr">
        <is>
          <t>musk</t>
        </is>
      </c>
      <c r="L63" s="5" t="inlineStr">
        <is>
          <t>spicy, amber, gourmand</t>
        </is>
      </c>
      <c r="M63" s="5" t="inlineStr">
        <is>
          <t>warm, cozy, sensual, deep</t>
        </is>
      </c>
      <c r="N63" s="5" t="inlineStr">
        <is>
          <t>spicy</t>
        </is>
      </c>
      <c r="O63" s="5" t="inlineStr">
        <is>
          <t>strong</t>
        </is>
      </c>
      <c r="P63" s="5" t="inlineStr">
        <is>
          <t>high</t>
        </is>
      </c>
      <c r="Q63" s="5" t="inlineStr">
        <is>
          <t>가을·겨울 · 저녁</t>
        </is>
      </c>
      <c r="R63" s="5" t="inlineStr">
        <is>
          <t>따뜻한 살결에 향신료와 바닐라가 스며든 향</t>
        </is>
      </c>
      <c r="S63" s="5" t="inlineStr">
        <is>
          <t>시간이 지나도 포근한 머스크가 오래 남아요</t>
        </is>
      </c>
      <c r="T63" s="5" t="inlineStr">
        <is>
          <t>머스크가 달콤하고 진한 정도를 확인해 보세요</t>
        </is>
      </c>
      <c r="U63" s="6" t="n"/>
      <c r="V63" s="6" t="n"/>
      <c r="W63" s="6" t="n"/>
      <c r="X63" s="6" t="n"/>
      <c r="Y63" s="4" t="inlineStr">
        <is>
          <t>프레데릭 말 백화점</t>
        </is>
      </c>
      <c r="Z63" s="6" t="inlineStr">
        <is>
          <t>면세점</t>
        </is>
      </c>
      <c r="AA63" s="6" t="n"/>
      <c r="AB63" s="6" t="n"/>
      <c r="AC63" s="4" t="inlineStr">
        <is>
          <t>AI 초안 (공식 확인 전)</t>
        </is>
      </c>
      <c r="AD63" s="4" t="inlineStr">
        <is>
          <t>노트·농도 공식 확인 / 국내 정가 / 이미지 / 시향 가능 채널</t>
        </is>
      </c>
      <c r="AE63" s="6" t="inlineStr">
        <is>
          <t>낮음 (앱에 표시 안 함)</t>
        </is>
      </c>
    </row>
    <row r="64">
      <c r="A64" s="4" t="inlineStr">
        <is>
          <t>frederic-malle-carnal-flower</t>
        </is>
      </c>
      <c r="B64" s="4" t="inlineStr">
        <is>
          <t>Frédéric Malle</t>
        </is>
      </c>
      <c r="C64" s="5" t="inlineStr">
        <is>
          <t>프레데릭 말</t>
        </is>
      </c>
      <c r="D64" s="4" t="inlineStr">
        <is>
          <t>Carnal Flower</t>
        </is>
      </c>
      <c r="E64" s="5" t="inlineStr">
        <is>
          <t>카널 플라워</t>
        </is>
      </c>
      <c r="F64" s="5" t="inlineStr">
        <is>
          <t>EDP</t>
        </is>
      </c>
      <c r="G64" s="5" t="inlineStr">
        <is>
          <t>Bergamot, Coconut</t>
        </is>
      </c>
      <c r="H64" s="5" t="inlineStr">
        <is>
          <t>Tuberose, Jasmine, Ylang-Ylang</t>
        </is>
      </c>
      <c r="I64" s="5" t="inlineStr">
        <is>
          <t>Musk, Sandalwood</t>
        </is>
      </c>
      <c r="J64" s="6" t="n"/>
      <c r="K64" s="5" t="inlineStr">
        <is>
          <t>whiteFloral</t>
        </is>
      </c>
      <c r="L64" s="5" t="inlineStr">
        <is>
          <t>floral</t>
        </is>
      </c>
      <c r="M64" s="5" t="inlineStr">
        <is>
          <t>elegant, sensual, warm</t>
        </is>
      </c>
      <c r="N64" s="5" t="inlineStr">
        <is>
          <t>heavyFloral, headache</t>
        </is>
      </c>
      <c r="O64" s="5" t="inlineStr">
        <is>
          <t>strong</t>
        </is>
      </c>
      <c r="P64" s="5" t="inlineStr">
        <is>
          <t>high</t>
        </is>
      </c>
      <c r="Q64" s="5" t="inlineStr">
        <is>
          <t>여름 · 저녁</t>
        </is>
      </c>
      <c r="R64" s="5" t="inlineStr">
        <is>
          <t>튜베로즈가 가득 피어난 진하고 관능적인 꽃 향</t>
        </is>
      </c>
      <c r="S64" s="5" t="inlineStr">
        <is>
          <t>시간이 지나도 하얀 꽃 향이 크리미하게 남아요</t>
        </is>
      </c>
      <c r="T64" s="5" t="inlineStr">
        <is>
          <t>꽃 향의 진한 정도가 부담스럽지 않은지 확인해 보세요</t>
        </is>
      </c>
      <c r="U64" s="6" t="n"/>
      <c r="V64" s="6" t="n"/>
      <c r="W64" s="6" t="n"/>
      <c r="X64" s="6" t="n"/>
      <c r="Y64" s="4" t="inlineStr">
        <is>
          <t>프레데릭 말 백화점</t>
        </is>
      </c>
      <c r="Z64" s="6" t="inlineStr">
        <is>
          <t>면세점</t>
        </is>
      </c>
      <c r="AA64" s="6" t="n"/>
      <c r="AB64" s="6" t="n"/>
      <c r="AC64" s="4" t="inlineStr">
        <is>
          <t>AI 초안 (공식 확인 전)</t>
        </is>
      </c>
      <c r="AD64" s="4" t="inlineStr">
        <is>
          <t>노트·농도 공식 확인 / 국내 정가 / 이미지 / 시향 가능 채널</t>
        </is>
      </c>
      <c r="AE64" s="6" t="inlineStr">
        <is>
          <t>낮음 (앱에 표시 안 함)</t>
        </is>
      </c>
    </row>
    <row r="65">
      <c r="A65" s="4" t="inlineStr">
        <is>
          <t>frederic-malle-en-passant</t>
        </is>
      </c>
      <c r="B65" s="4" t="inlineStr">
        <is>
          <t>Frédéric Malle</t>
        </is>
      </c>
      <c r="C65" s="5" t="inlineStr">
        <is>
          <t>프레데릭 말</t>
        </is>
      </c>
      <c r="D65" s="4" t="inlineStr">
        <is>
          <t>En Passant</t>
        </is>
      </c>
      <c r="E65" s="5" t="inlineStr">
        <is>
          <t>앙 파상</t>
        </is>
      </c>
      <c r="F65" s="5" t="inlineStr">
        <is>
          <t>EDP</t>
        </is>
      </c>
      <c r="G65" s="5" t="inlineStr">
        <is>
          <t>Cucumber</t>
        </is>
      </c>
      <c r="H65" s="5" t="inlineStr">
        <is>
          <t>Lilac, Iris</t>
        </is>
      </c>
      <c r="I65" s="5" t="inlineStr">
        <is>
          <t>Sandalwood, Musk</t>
        </is>
      </c>
      <c r="J65" s="6" t="n"/>
      <c r="K65" s="5" t="inlineStr">
        <is>
          <t>green</t>
        </is>
      </c>
      <c r="L65" s="5" t="inlineStr">
        <is>
          <t>floral, powdery</t>
        </is>
      </c>
      <c r="M65" s="5" t="inlineStr">
        <is>
          <t>fresh, soft, cool, calm</t>
        </is>
      </c>
      <c r="N65" s="5" t="inlineStr">
        <is>
          <t>powdery</t>
        </is>
      </c>
      <c r="O65" s="5" t="inlineStr">
        <is>
          <t>light</t>
        </is>
      </c>
      <c r="P65" s="5" t="inlineStr">
        <is>
          <t>mid</t>
        </is>
      </c>
      <c r="Q65" s="5" t="inlineStr">
        <is>
          <t>봄 · 산책</t>
        </is>
      </c>
      <c r="R65" s="5" t="inlineStr">
        <is>
          <t>봄날 라일락 길을 지나가는 듯한 싱그러운 향</t>
        </is>
      </c>
      <c r="S65" s="5" t="inlineStr">
        <is>
          <t>시간이 지나면 보송한 분내가 가볍게 남아요</t>
        </is>
      </c>
      <c r="T65" s="5" t="inlineStr">
        <is>
          <t>오이의 서늘함과 라일락의 보송함이 맞는지 맡아보세요</t>
        </is>
      </c>
      <c r="U65" s="6" t="n"/>
      <c r="V65" s="6" t="n"/>
      <c r="W65" s="6" t="n"/>
      <c r="X65" s="6" t="n"/>
      <c r="Y65" s="4" t="inlineStr">
        <is>
          <t>프레데릭 말 백화점</t>
        </is>
      </c>
      <c r="Z65" s="6" t="inlineStr">
        <is>
          <t>면세점</t>
        </is>
      </c>
      <c r="AA65" s="6" t="n"/>
      <c r="AB65" s="6" t="n"/>
      <c r="AC65" s="4" t="inlineStr">
        <is>
          <t>AI 초안 (공식 확인 전)</t>
        </is>
      </c>
      <c r="AD65" s="4" t="inlineStr">
        <is>
          <t>노트·농도 공식 확인 / 국내 정가 / 이미지 / 시향 가능 채널</t>
        </is>
      </c>
      <c r="AE65" s="6" t="inlineStr">
        <is>
          <t>낮음 (앱에 표시 안 함)</t>
        </is>
      </c>
    </row>
    <row r="66">
      <c r="A66" s="4" t="inlineStr">
        <is>
          <t>frederic-malle-lipstick-rose</t>
        </is>
      </c>
      <c r="B66" s="4" t="inlineStr">
        <is>
          <t>Frédéric Malle</t>
        </is>
      </c>
      <c r="C66" s="5" t="inlineStr">
        <is>
          <t>프레데릭 말</t>
        </is>
      </c>
      <c r="D66" s="4" t="inlineStr">
        <is>
          <t>Lipstick Rose</t>
        </is>
      </c>
      <c r="E66" s="5" t="inlineStr">
        <is>
          <t>립스틱 로즈</t>
        </is>
      </c>
      <c r="F66" s="5" t="inlineStr">
        <is>
          <t>EDP</t>
        </is>
      </c>
      <c r="G66" s="5" t="inlineStr">
        <is>
          <t>Raspberry, Rose</t>
        </is>
      </c>
      <c r="H66" s="5" t="inlineStr">
        <is>
          <t>Violet, Iris</t>
        </is>
      </c>
      <c r="I66" s="5" t="inlineStr">
        <is>
          <t>Musk, Vanilla</t>
        </is>
      </c>
      <c r="J66" s="6" t="n"/>
      <c r="K66" s="5" t="inlineStr">
        <is>
          <t>powdery</t>
        </is>
      </c>
      <c r="L66" s="5" t="inlineStr">
        <is>
          <t>floral, fruity</t>
        </is>
      </c>
      <c r="M66" s="5" t="inlineStr">
        <is>
          <t>soft, sweet, lovely, elegant</t>
        </is>
      </c>
      <c r="N66" s="5" t="inlineStr">
        <is>
          <t>powdery</t>
        </is>
      </c>
      <c r="O66" s="5" t="inlineStr">
        <is>
          <t>medium</t>
        </is>
      </c>
      <c r="P66" s="5" t="inlineStr">
        <is>
          <t>mid</t>
        </is>
      </c>
      <c r="Q66" s="5" t="inlineStr">
        <is>
          <t>봄·가을 · 데이트</t>
        </is>
      </c>
      <c r="R66" s="5" t="inlineStr">
        <is>
          <t>립스틱처럼 보송하고 달콤한 장미 향</t>
        </is>
      </c>
      <c r="S66" s="5" t="inlineStr">
        <is>
          <t>시간이 지나면 보송한 바닐라 머스크가 남아요</t>
        </is>
      </c>
      <c r="T66" s="5" t="inlineStr">
        <is>
          <t>화장품 같은 분 느낌이 마음에 드는지 확인해 보세요</t>
        </is>
      </c>
      <c r="U66" s="6" t="n"/>
      <c r="V66" s="6" t="n"/>
      <c r="W66" s="6" t="n"/>
      <c r="X66" s="6" t="n"/>
      <c r="Y66" s="4" t="inlineStr">
        <is>
          <t>프레데릭 말 백화점</t>
        </is>
      </c>
      <c r="Z66" s="6" t="inlineStr">
        <is>
          <t>면세점</t>
        </is>
      </c>
      <c r="AA66" s="6" t="n"/>
      <c r="AB66" s="6" t="n"/>
      <c r="AC66" s="4" t="inlineStr">
        <is>
          <t>AI 초안 (공식 확인 전)</t>
        </is>
      </c>
      <c r="AD66" s="4" t="inlineStr">
        <is>
          <t>노트·농도 공식 확인 / 국내 정가 / 이미지 / 시향 가능 채널</t>
        </is>
      </c>
      <c r="AE66" s="6" t="inlineStr">
        <is>
          <t>낮음 (앱에 표시 안 함)</t>
        </is>
      </c>
    </row>
    <row r="67">
      <c r="A67" s="4" t="inlineStr">
        <is>
          <t>annick-goutal-eau-d-hadrien</t>
        </is>
      </c>
      <c r="B67" s="4" t="inlineStr">
        <is>
          <t>Annick Goutal</t>
        </is>
      </c>
      <c r="C67" s="5" t="inlineStr">
        <is>
          <t>아닉 구딸</t>
        </is>
      </c>
      <c r="D67" s="4" t="inlineStr">
        <is>
          <t>Eau d'Hadrien</t>
        </is>
      </c>
      <c r="E67" s="5" t="inlineStr">
        <is>
          <t>오 드 아드리앵</t>
        </is>
      </c>
      <c r="F67" s="5" t="inlineStr">
        <is>
          <t>EDP</t>
        </is>
      </c>
      <c r="G67" s="5" t="inlineStr">
        <is>
          <t>Lemon, Grapefruit</t>
        </is>
      </c>
      <c r="H67" s="5" t="inlineStr">
        <is>
          <t>Cypress, Pine Needles</t>
        </is>
      </c>
      <c r="I67" s="5" t="inlineStr">
        <is>
          <t>Cedar</t>
        </is>
      </c>
      <c r="J67" s="6" t="n"/>
      <c r="K67" s="5" t="inlineStr">
        <is>
          <t>citrus</t>
        </is>
      </c>
      <c r="L67" s="5" t="inlineStr">
        <is>
          <t>woody</t>
        </is>
      </c>
      <c r="M67" s="5" t="inlineStr">
        <is>
          <t>zesty, fresh, cool, clean</t>
        </is>
      </c>
      <c r="N67" s="5" t="n"/>
      <c r="O67" s="5" t="inlineStr">
        <is>
          <t>light</t>
        </is>
      </c>
      <c r="P67" s="5" t="inlineStr">
        <is>
          <t>low</t>
        </is>
      </c>
      <c r="Q67" s="5" t="inlineStr">
        <is>
          <t>여름 · 데일리</t>
        </is>
      </c>
      <c r="R67" s="5" t="inlineStr">
        <is>
          <t>지중해 레몬 나무 같은 맑고 상큼한 향</t>
        </is>
      </c>
      <c r="S67" s="5" t="inlineStr">
        <is>
          <t>몇 시간 뒤엔 가벼운 시더 향만 남아요</t>
        </is>
      </c>
      <c r="T67" s="5" t="inlineStr">
        <is>
          <t>레몬과 사이프러스의 시원함을 맡아보세요</t>
        </is>
      </c>
      <c r="U67" s="6" t="n"/>
      <c r="V67" s="6" t="n"/>
      <c r="W67" s="6" t="n"/>
      <c r="X67" s="6" t="n"/>
      <c r="Y67" s="4" t="inlineStr">
        <is>
          <t>아닉 구딸 백화점</t>
        </is>
      </c>
      <c r="Z67" s="6" t="inlineStr">
        <is>
          <t>백화점</t>
        </is>
      </c>
      <c r="AA67" s="6" t="n"/>
      <c r="AB67" s="6" t="n"/>
      <c r="AC67" s="4" t="inlineStr">
        <is>
          <t>AI 초안 (공식 확인 전)</t>
        </is>
      </c>
      <c r="AD67" s="4" t="inlineStr">
        <is>
          <t>노트·농도 공식 확인 / 국내 정가 / 이미지 / 시향 가능 채널</t>
        </is>
      </c>
      <c r="AE67" s="6" t="inlineStr">
        <is>
          <t>낮음 (앱에 표시 안 함)</t>
        </is>
      </c>
    </row>
    <row r="68">
      <c r="A68" s="4" t="inlineStr">
        <is>
          <t>annick-goutal-petite-cherie</t>
        </is>
      </c>
      <c r="B68" s="4" t="inlineStr">
        <is>
          <t>Annick Goutal</t>
        </is>
      </c>
      <c r="C68" s="5" t="inlineStr">
        <is>
          <t>아닉 구딸</t>
        </is>
      </c>
      <c r="D68" s="4" t="inlineStr">
        <is>
          <t>Petite Chérie</t>
        </is>
      </c>
      <c r="E68" s="5" t="inlineStr">
        <is>
          <t>쁘띠 셰리</t>
        </is>
      </c>
      <c r="F68" s="5" t="inlineStr">
        <is>
          <t>EDP</t>
        </is>
      </c>
      <c r="G68" s="5" t="inlineStr">
        <is>
          <t>Pear, Peach</t>
        </is>
      </c>
      <c r="H68" s="5" t="inlineStr">
        <is>
          <t>Rose</t>
        </is>
      </c>
      <c r="I68" s="5" t="inlineStr">
        <is>
          <t>Musk, Vanilla, Patchouli</t>
        </is>
      </c>
      <c r="J68" s="6" t="n"/>
      <c r="K68" s="5" t="inlineStr">
        <is>
          <t>fruity</t>
        </is>
      </c>
      <c r="L68" s="5" t="inlineStr">
        <is>
          <t>floral</t>
        </is>
      </c>
      <c r="M68" s="5" t="inlineStr">
        <is>
          <t>lovely, sweet, soft, fresh</t>
        </is>
      </c>
      <c r="N68" s="5" t="n"/>
      <c r="O68" s="5" t="inlineStr">
        <is>
          <t>light</t>
        </is>
      </c>
      <c r="P68" s="5" t="inlineStr">
        <is>
          <t>low</t>
        </is>
      </c>
      <c r="Q68" s="5" t="inlineStr">
        <is>
          <t>봄 · 데일리</t>
        </is>
      </c>
      <c r="R68" s="5" t="inlineStr">
        <is>
          <t>잘 익은 배와 복숭아에 장미가 어우러진 사랑스러운 향</t>
        </is>
      </c>
      <c r="S68" s="5" t="inlineStr">
        <is>
          <t>시간이 지나면 부드러운 머스크와 바닐라가 남아요</t>
        </is>
      </c>
      <c r="T68" s="5" t="inlineStr">
        <is>
          <t>과일 향이 달콤한 정도를 확인해 보세요</t>
        </is>
      </c>
      <c r="U68" s="6" t="n"/>
      <c r="V68" s="6" t="n"/>
      <c r="W68" s="6" t="n"/>
      <c r="X68" s="6" t="n"/>
      <c r="Y68" s="4" t="inlineStr">
        <is>
          <t>아닉 구딸 백화점</t>
        </is>
      </c>
      <c r="Z68" s="6" t="inlineStr">
        <is>
          <t>백화점</t>
        </is>
      </c>
      <c r="AA68" s="6" t="n"/>
      <c r="AB68" s="6" t="n"/>
      <c r="AC68" s="4" t="inlineStr">
        <is>
          <t>AI 초안 (공식 확인 전)</t>
        </is>
      </c>
      <c r="AD68" s="4" t="inlineStr">
        <is>
          <t>노트·농도 공식 확인 / 국내 정가 / 이미지 / 시향 가능 채널</t>
        </is>
      </c>
      <c r="AE68" s="6" t="inlineStr">
        <is>
          <t>낮음 (앱에 표시 안 함)</t>
        </is>
      </c>
    </row>
    <row r="69">
      <c r="A69" s="4" t="inlineStr">
        <is>
          <t>aesop-hwyl</t>
        </is>
      </c>
      <c r="B69" s="4" t="inlineStr">
        <is>
          <t>Aesop</t>
        </is>
      </c>
      <c r="C69" s="5" t="inlineStr">
        <is>
          <t>이솝</t>
        </is>
      </c>
      <c r="D69" s="4" t="inlineStr">
        <is>
          <t>Hwyl</t>
        </is>
      </c>
      <c r="E69" s="5" t="inlineStr">
        <is>
          <t>휠</t>
        </is>
      </c>
      <c r="F69" s="5" t="inlineStr">
        <is>
          <t>EDP</t>
        </is>
      </c>
      <c r="G69" s="5" t="inlineStr">
        <is>
          <t>Cypress, Hinoki</t>
        </is>
      </c>
      <c r="H69" s="5" t="inlineStr">
        <is>
          <t>Vetiver</t>
        </is>
      </c>
      <c r="I69" s="5" t="inlineStr">
        <is>
          <t>Incense, Oakmoss, Patchouli</t>
        </is>
      </c>
      <c r="J69" s="6" t="n"/>
      <c r="K69" s="5" t="inlineStr">
        <is>
          <t>woody</t>
        </is>
      </c>
      <c r="L69" s="5" t="inlineStr">
        <is>
          <t>green</t>
        </is>
      </c>
      <c r="M69" s="5" t="inlineStr">
        <is>
          <t>calm, deep, fresh</t>
        </is>
      </c>
      <c r="N69" s="5" t="inlineStr">
        <is>
          <t>smoky</t>
        </is>
      </c>
      <c r="O69" s="5" t="inlineStr">
        <is>
          <t>medium</t>
        </is>
      </c>
      <c r="P69" s="5" t="inlineStr">
        <is>
          <t>mid</t>
        </is>
      </c>
      <c r="Q69" s="5" t="inlineStr">
        <is>
          <t>사계절 · 휴식</t>
        </is>
      </c>
      <c r="R69" s="5" t="inlineStr">
        <is>
          <t>숲속 사원 같은 고요하고 깊은 나무 향</t>
        </is>
      </c>
      <c r="S69" s="5" t="inlineStr">
        <is>
          <t>시간이 지나면 이끼와 인센스가 차분하게 남아요</t>
        </is>
      </c>
      <c r="T69" s="5" t="inlineStr">
        <is>
          <t>첫 향의 사이프러스가 이끼 향으로 변하는 흐름을 맡아보세요</t>
        </is>
      </c>
      <c r="U69" s="6" t="n">
        <v>50</v>
      </c>
      <c r="V69" s="10" t="n">
        <v>245000</v>
      </c>
      <c r="W69" s="6" t="inlineStr">
        <is>
          <t>2026-10-07</t>
        </is>
      </c>
      <c r="X69" s="6" t="inlineStr">
        <is>
          <t>https://kr.aesop.com/kr/gifts/fragrant-gifts/silently--hwyl-eau-de-parfum/FR43.html</t>
        </is>
      </c>
      <c r="Y69" s="4" t="inlineStr">
        <is>
          <t>이솝 매장</t>
        </is>
      </c>
      <c r="Z69" s="6" t="inlineStr">
        <is>
          <t>브랜드 매장</t>
        </is>
      </c>
      <c r="AA69" s="6" t="inlineStr">
        <is>
          <t>aesop-hwyl.png</t>
        </is>
      </c>
      <c r="AB69" s="6" t="inlineStr">
        <is>
          <t>https://kr.aesop.com/kr/gifts/fragrant-gifts/silently--hwyl-eau-de-parfum/FR43.html</t>
        </is>
      </c>
      <c r="AC69" s="4" t="inlineStr">
        <is>
          <t>AI 초안 (공식 확인 전)</t>
        </is>
      </c>
      <c r="AD69" s="4" t="inlineStr">
        <is>
          <t>노트·농도 공식 확인 / 시향 가능 채널 / 공식몰 한국 상품명: 사일런틀리, 휠 (Silently, Hwyl) (사용자 확인: 같은 제품)</t>
        </is>
      </c>
      <c r="AE69" s="6" t="inlineStr">
        <is>
          <t>높음 (앱에 표시)</t>
        </is>
      </c>
    </row>
    <row r="70">
      <c r="A70" s="4" t="inlineStr">
        <is>
          <t>aesop-tacit</t>
        </is>
      </c>
      <c r="B70" s="4" t="inlineStr">
        <is>
          <t>Aesop</t>
        </is>
      </c>
      <c r="C70" s="5" t="inlineStr">
        <is>
          <t>이솝</t>
        </is>
      </c>
      <c r="D70" s="4" t="inlineStr">
        <is>
          <t>Tacit</t>
        </is>
      </c>
      <c r="E70" s="5" t="inlineStr">
        <is>
          <t>타싯</t>
        </is>
      </c>
      <c r="F70" s="5" t="inlineStr">
        <is>
          <t>EDP</t>
        </is>
      </c>
      <c r="G70" s="5" t="inlineStr">
        <is>
          <t>Yuzu, Mandarin, Basil</t>
        </is>
      </c>
      <c r="H70" s="5" t="inlineStr">
        <is>
          <t>Coriander</t>
        </is>
      </c>
      <c r="I70" s="5" t="inlineStr">
        <is>
          <t>Vetiver, Musk</t>
        </is>
      </c>
      <c r="J70" s="6" t="n"/>
      <c r="K70" s="5" t="inlineStr">
        <is>
          <t>citrus</t>
        </is>
      </c>
      <c r="L70" s="5" t="inlineStr">
        <is>
          <t>green, aromatic</t>
        </is>
      </c>
      <c r="M70" s="5" t="inlineStr">
        <is>
          <t>fresh, zesty, clean, cool</t>
        </is>
      </c>
      <c r="N70" s="5" t="n"/>
      <c r="O70" s="5" t="inlineStr">
        <is>
          <t>light</t>
        </is>
      </c>
      <c r="P70" s="5" t="inlineStr">
        <is>
          <t>low</t>
        </is>
      </c>
      <c r="Q70" s="5" t="inlineStr">
        <is>
          <t>봄·여름 · 출근</t>
        </is>
      </c>
      <c r="R70" s="5" t="inlineStr">
        <is>
          <t>유자와 바질이 어우러진 맑고 쌉쌀한 시트러스 향</t>
        </is>
      </c>
      <c r="S70" s="5" t="inlineStr">
        <is>
          <t>시간이 지나면 가벼운 베티버가 은은하게 남아요</t>
        </is>
      </c>
      <c r="T70" s="5" t="inlineStr">
        <is>
          <t>유자의 쌉쌀함이 얼마나 가는지 확인해 보세요</t>
        </is>
      </c>
      <c r="U70" s="6" t="n">
        <v>50</v>
      </c>
      <c r="V70" s="10" t="n">
        <v>245000</v>
      </c>
      <c r="W70" s="6" t="inlineStr">
        <is>
          <t>2026-10-07</t>
        </is>
      </c>
      <c r="X70" s="6" t="inlineStr">
        <is>
          <t>https://kr.aesop.com/kr/fragrance/fresh/tacit-truths-eau-de-parfum/FR41.html</t>
        </is>
      </c>
      <c r="Y70" s="4" t="inlineStr">
        <is>
          <t>이솝 매장</t>
        </is>
      </c>
      <c r="Z70" s="6" t="inlineStr">
        <is>
          <t>브랜드 매장</t>
        </is>
      </c>
      <c r="AA70" s="6" t="inlineStr">
        <is>
          <t>aesop-tacit.png</t>
        </is>
      </c>
      <c r="AB70" s="6" t="inlineStr">
        <is>
          <t>https://kr.aesop.com/kr/fragrance/fresh/tacit-truths-eau-de-parfum/FR41.html</t>
        </is>
      </c>
      <c r="AC70" s="4" t="inlineStr">
        <is>
          <t>AI 초안 (공식 확인 전)</t>
        </is>
      </c>
      <c r="AD70" s="4" t="inlineStr">
        <is>
          <t>노트·농도 공식 확인 / 시향 가능 채널 / 공식몰 한국 상품명: 테싯 트루스 (Tacit Truths) (사용자 확인: 같은 제품)</t>
        </is>
      </c>
      <c r="AE70" s="6" t="inlineStr">
        <is>
          <t>높음 (앱에 표시)</t>
        </is>
      </c>
    </row>
    <row r="71">
      <c r="A71" s="4" t="inlineStr">
        <is>
          <t>parfums-de-marly-delina</t>
        </is>
      </c>
      <c r="B71" s="4" t="inlineStr">
        <is>
          <t>Parfums de Marly</t>
        </is>
      </c>
      <c r="C71" s="5" t="inlineStr">
        <is>
          <t>퍼퓸 드 말리</t>
        </is>
      </c>
      <c r="D71" s="4" t="inlineStr">
        <is>
          <t>Delina</t>
        </is>
      </c>
      <c r="E71" s="5" t="inlineStr">
        <is>
          <t>델리나</t>
        </is>
      </c>
      <c r="F71" s="5" t="inlineStr">
        <is>
          <t>EDP</t>
        </is>
      </c>
      <c r="G71" s="5" t="inlineStr">
        <is>
          <t>Lychee, Rhubarb, Bergamot</t>
        </is>
      </c>
      <c r="H71" s="5" t="inlineStr">
        <is>
          <t>Peony, Rose</t>
        </is>
      </c>
      <c r="I71" s="5" t="inlineStr">
        <is>
          <t>Vanilla, Musk, Cashmeran</t>
        </is>
      </c>
      <c r="J71" s="6" t="n"/>
      <c r="K71" s="5" t="inlineStr">
        <is>
          <t>floral</t>
        </is>
      </c>
      <c r="L71" s="5" t="inlineStr">
        <is>
          <t>fruity, gourmand</t>
        </is>
      </c>
      <c r="M71" s="5" t="inlineStr">
        <is>
          <t>lovely, elegant, sweet, soft</t>
        </is>
      </c>
      <c r="N71" s="5" t="n"/>
      <c r="O71" s="5" t="inlineStr">
        <is>
          <t>medium</t>
        </is>
      </c>
      <c r="P71" s="5" t="inlineStr">
        <is>
          <t>mid</t>
        </is>
      </c>
      <c r="Q71" s="5" t="inlineStr">
        <is>
          <t>봄·가을 · 데이트</t>
        </is>
      </c>
      <c r="R71" s="5" t="inlineStr">
        <is>
          <t>리치와 장미가 어우러진 달콤하고 우아한 꽃 향</t>
        </is>
      </c>
      <c r="S71" s="5" t="inlineStr">
        <is>
          <t>시간이 지나면 부드러운 바닐라 머스크가 남아요</t>
        </is>
      </c>
      <c r="T71" s="5" t="inlineStr">
        <is>
          <t>리치의 새콤함이 장미로 이어지는지 맡아보세요</t>
        </is>
      </c>
      <c r="U71" s="6" t="n"/>
      <c r="V71" s="6" t="n"/>
      <c r="W71" s="6" t="n"/>
      <c r="X71" s="6" t="n"/>
      <c r="Y71" s="4" t="inlineStr">
        <is>
          <t>퍼퓸 드 말리 백화점</t>
        </is>
      </c>
      <c r="Z71" s="6" t="inlineStr">
        <is>
          <t>[확인 필요]</t>
        </is>
      </c>
      <c r="AA71" s="6" t="n"/>
      <c r="AB71" s="6" t="n"/>
      <c r="AC71" s="4" t="inlineStr">
        <is>
          <t>AI 초안 (공식 확인 전)</t>
        </is>
      </c>
      <c r="AD71" s="4" t="inlineStr">
        <is>
          <t>노트·농도 공식 확인 / 국내 정가 / 이미지 / 시향 가능 채널</t>
        </is>
      </c>
      <c r="AE71" s="6" t="inlineStr">
        <is>
          <t>미확인</t>
        </is>
      </c>
    </row>
    <row r="72">
      <c r="A72" s="4" t="inlineStr">
        <is>
          <t>parfums-de-marly-layton</t>
        </is>
      </c>
      <c r="B72" s="4" t="inlineStr">
        <is>
          <t>Parfums de Marly</t>
        </is>
      </c>
      <c r="C72" s="5" t="inlineStr">
        <is>
          <t>퍼퓸 드 말리</t>
        </is>
      </c>
      <c r="D72" s="4" t="inlineStr">
        <is>
          <t>Layton</t>
        </is>
      </c>
      <c r="E72" s="5" t="inlineStr">
        <is>
          <t>레이튼</t>
        </is>
      </c>
      <c r="F72" s="5" t="inlineStr">
        <is>
          <t>EDP</t>
        </is>
      </c>
      <c r="G72" s="5" t="inlineStr">
        <is>
          <t>Apple, Lavender, Bergamot, Mandarin</t>
        </is>
      </c>
      <c r="H72" s="5" t="inlineStr">
        <is>
          <t>Geranium, Violet, Jasmine</t>
        </is>
      </c>
      <c r="I72" s="5" t="inlineStr">
        <is>
          <t>Vanilla, Sandalwood, Guaiac Wood</t>
        </is>
      </c>
      <c r="J72" s="6" t="n"/>
      <c r="K72" s="5" t="inlineStr">
        <is>
          <t>aromatic</t>
        </is>
      </c>
      <c r="L72" s="5" t="inlineStr">
        <is>
          <t>gourmand, spicy</t>
        </is>
      </c>
      <c r="M72" s="5" t="inlineStr">
        <is>
          <t>warm, elegant, sweet, deep</t>
        </is>
      </c>
      <c r="N72" s="5" t="inlineStr">
        <is>
          <t>tooSweet</t>
        </is>
      </c>
      <c r="O72" s="5" t="inlineStr">
        <is>
          <t>strong</t>
        </is>
      </c>
      <c r="P72" s="5" t="inlineStr">
        <is>
          <t>mid</t>
        </is>
      </c>
      <c r="Q72" s="5" t="inlineStr">
        <is>
          <t>가을·겨울 · 저녁</t>
        </is>
      </c>
      <c r="R72" s="5" t="inlineStr">
        <is>
          <t>사과와 라벤더에 바닐라가 더해진 따뜻하고 달콤한 향</t>
        </is>
      </c>
      <c r="S72" s="5" t="inlineStr">
        <is>
          <t>시간이 지나도 달콤한 바닐라와 나무 향이 오래 남아요</t>
        </is>
      </c>
      <c r="T72" s="5" t="inlineStr">
        <is>
          <t>첫 향의 사과와 바닐라의 달콤함을 확인해 보세요</t>
        </is>
      </c>
      <c r="U72" s="6" t="n"/>
      <c r="V72" s="6" t="n"/>
      <c r="W72" s="6" t="n"/>
      <c r="X72" s="6" t="n"/>
      <c r="Y72" s="4" t="inlineStr">
        <is>
          <t>퍼퓸 드 말리 백화점</t>
        </is>
      </c>
      <c r="Z72" s="6" t="inlineStr">
        <is>
          <t>[확인 필요]</t>
        </is>
      </c>
      <c r="AA72" s="6" t="n"/>
      <c r="AB72" s="6" t="n"/>
      <c r="AC72" s="4" t="inlineStr">
        <is>
          <t>AI 초안 (공식 확인 전)</t>
        </is>
      </c>
      <c r="AD72" s="4" t="inlineStr">
        <is>
          <t>노트·농도 공식 확인 / 국내 정가 / 이미지 / 시향 가능 채널</t>
        </is>
      </c>
      <c r="AE72" s="6" t="inlineStr">
        <is>
          <t>미확인</t>
        </is>
      </c>
    </row>
    <row r="73">
      <c r="A73" s="4" t="inlineStr">
        <is>
          <t>mfk-aqua-universalis</t>
        </is>
      </c>
      <c r="B73" s="4" t="inlineStr">
        <is>
          <t>Maison Francis Kurkdjian</t>
        </is>
      </c>
      <c r="C73" s="5" t="inlineStr">
        <is>
          <t>메종 프란시스 커정</t>
        </is>
      </c>
      <c r="D73" s="4" t="inlineStr">
        <is>
          <t>Aqua Universalis</t>
        </is>
      </c>
      <c r="E73" s="5" t="inlineStr">
        <is>
          <t>아쿠아 유니버설리스</t>
        </is>
      </c>
      <c r="F73" s="5" t="inlineStr">
        <is>
          <t>EDT</t>
        </is>
      </c>
      <c r="G73" s="5" t="inlineStr">
        <is>
          <t>Bergamot, Lemon</t>
        </is>
      </c>
      <c r="H73" s="5" t="inlineStr">
        <is>
          <t>Lily of the Valley, Orange Blossom</t>
        </is>
      </c>
      <c r="I73" s="5" t="inlineStr">
        <is>
          <t>White Musk</t>
        </is>
      </c>
      <c r="J73" s="6" t="n"/>
      <c r="K73" s="5" t="inlineStr">
        <is>
          <t>citrus</t>
        </is>
      </c>
      <c r="L73" s="5" t="inlineStr">
        <is>
          <t>musk, floral</t>
        </is>
      </c>
      <c r="M73" s="5" t="inlineStr">
        <is>
          <t>clean, fresh, zesty, cool</t>
        </is>
      </c>
      <c r="N73" s="5" t="inlineStr">
        <is>
          <t>soapy</t>
        </is>
      </c>
      <c r="O73" s="5" t="inlineStr">
        <is>
          <t>light</t>
        </is>
      </c>
      <c r="P73" s="5" t="inlineStr">
        <is>
          <t>low</t>
        </is>
      </c>
      <c r="Q73" s="5" t="inlineStr">
        <is>
          <t>사계절 · 데일리</t>
        </is>
      </c>
      <c r="R73" s="5" t="inlineStr">
        <is>
          <t>깨끗한 빨래와 레몬을 닮은 맑고 투명한 향</t>
        </is>
      </c>
      <c r="S73" s="5" t="inlineStr">
        <is>
          <t>몇 시간 뒤엔 보송한 화이트 머스크가 남아요</t>
        </is>
      </c>
      <c r="T73" s="5" t="inlineStr">
        <is>
          <t>레몬의 상큼함이 머스크로 이어지는지 맡아보세요</t>
        </is>
      </c>
      <c r="U73" s="6" t="n"/>
      <c r="V73" s="6" t="n"/>
      <c r="W73" s="6" t="n"/>
      <c r="X73" s="6" t="n"/>
      <c r="Y73" s="4" t="inlineStr">
        <is>
          <t>메종 프란시스 커정 백화점</t>
        </is>
      </c>
      <c r="Z73" s="6" t="inlineStr">
        <is>
          <t>백화점</t>
        </is>
      </c>
      <c r="AA73" s="6" t="n"/>
      <c r="AB73" s="6" t="n"/>
      <c r="AC73" s="4" t="inlineStr">
        <is>
          <t>AI 초안 (공식 확인 전)</t>
        </is>
      </c>
      <c r="AD73" s="4" t="inlineStr">
        <is>
          <t>노트·농도 공식 확인 / 국내 정가 / 이미지 / 시향 가능 채널</t>
        </is>
      </c>
      <c r="AE73" s="6" t="inlineStr">
        <is>
          <t>보통 (앱에 표시)</t>
        </is>
      </c>
    </row>
    <row r="74">
      <c r="A74" s="4" t="inlineStr">
        <is>
          <t>mfk-oud-satin-mood</t>
        </is>
      </c>
      <c r="B74" s="4" t="inlineStr">
        <is>
          <t>Maison Francis Kurkdjian</t>
        </is>
      </c>
      <c r="C74" s="5" t="inlineStr">
        <is>
          <t>메종 프란시스 커정</t>
        </is>
      </c>
      <c r="D74" s="4" t="inlineStr">
        <is>
          <t>Oud Satin Mood</t>
        </is>
      </c>
      <c r="E74" s="5" t="inlineStr">
        <is>
          <t>우드 사틴 무드</t>
        </is>
      </c>
      <c r="F74" s="5" t="inlineStr">
        <is>
          <t>EDP</t>
        </is>
      </c>
      <c r="G74" s="5" t="inlineStr">
        <is>
          <t>Violet</t>
        </is>
      </c>
      <c r="H74" s="5" t="inlineStr">
        <is>
          <t>Rose, Oud</t>
        </is>
      </c>
      <c r="I74" s="5" t="inlineStr">
        <is>
          <t>Vanilla, Benzoin, Amber, Musk</t>
        </is>
      </c>
      <c r="J74" s="6" t="n"/>
      <c r="K74" s="5" t="inlineStr">
        <is>
          <t>woody</t>
        </is>
      </c>
      <c r="L74" s="5" t="inlineStr">
        <is>
          <t>floral, amber</t>
        </is>
      </c>
      <c r="M74" s="5" t="inlineStr">
        <is>
          <t>sensual, deep, warm, elegant</t>
        </is>
      </c>
      <c r="N74" s="5" t="n"/>
      <c r="O74" s="5" t="inlineStr">
        <is>
          <t>strong</t>
        </is>
      </c>
      <c r="P74" s="5" t="inlineStr">
        <is>
          <t>mid</t>
        </is>
      </c>
      <c r="Q74" s="5" t="inlineStr">
        <is>
          <t>가을·겨울 · 저녁</t>
        </is>
      </c>
      <c r="R74" s="5" t="inlineStr">
        <is>
          <t>장미와 우드에 바닐라가 감싸는 부드럽고 깊은 향</t>
        </is>
      </c>
      <c r="S74" s="5" t="inlineStr">
        <is>
          <t>시간이 지나도 달콤한 우디 향이 오래 남아요</t>
        </is>
      </c>
      <c r="T74" s="5" t="inlineStr">
        <is>
          <t>우드 향의 진함이 부담스럽지 않은지 확인해 보세요</t>
        </is>
      </c>
      <c r="U74" s="6" t="n"/>
      <c r="V74" s="6" t="n"/>
      <c r="W74" s="6" t="n"/>
      <c r="X74" s="6" t="n"/>
      <c r="Y74" s="4" t="inlineStr">
        <is>
          <t>메종 프란시스 커정 백화점</t>
        </is>
      </c>
      <c r="Z74" s="6" t="inlineStr">
        <is>
          <t>백화점</t>
        </is>
      </c>
      <c r="AA74" s="6" t="n"/>
      <c r="AB74" s="6" t="n"/>
      <c r="AC74" s="4" t="inlineStr">
        <is>
          <t>AI 초안 (공식 확인 전)</t>
        </is>
      </c>
      <c r="AD74" s="4" t="inlineStr">
        <is>
          <t>노트·농도 공식 확인 / 국내 정가 / 이미지 / 시향 가능 채널</t>
        </is>
      </c>
      <c r="AE74" s="6" t="inlineStr">
        <is>
          <t>보통 (앱에 표시)</t>
        </is>
      </c>
    </row>
    <row r="75">
      <c r="A75" s="4" t="inlineStr">
        <is>
          <t>mfk-grand-soir</t>
        </is>
      </c>
      <c r="B75" s="4" t="inlineStr">
        <is>
          <t>Maison Francis Kurkdjian</t>
        </is>
      </c>
      <c r="C75" s="5" t="inlineStr">
        <is>
          <t>메종 프란시스 커정</t>
        </is>
      </c>
      <c r="D75" s="4" t="inlineStr">
        <is>
          <t>Grand Soir</t>
        </is>
      </c>
      <c r="E75" s="5" t="inlineStr">
        <is>
          <t>그랑 수아</t>
        </is>
      </c>
      <c r="F75" s="5" t="inlineStr">
        <is>
          <t>EDP</t>
        </is>
      </c>
      <c r="G75" s="5" t="inlineStr">
        <is>
          <t>Amber</t>
        </is>
      </c>
      <c r="H75" s="5" t="inlineStr">
        <is>
          <t>Benzoin, Labdanum</t>
        </is>
      </c>
      <c r="I75" s="5" t="inlineStr">
        <is>
          <t>Tonka Bean, Vanilla</t>
        </is>
      </c>
      <c r="J75" s="6" t="n"/>
      <c r="K75" s="5" t="inlineStr">
        <is>
          <t>amber</t>
        </is>
      </c>
      <c r="L75" s="5" t="inlineStr">
        <is>
          <t>gourmand</t>
        </is>
      </c>
      <c r="M75" s="5" t="inlineStr">
        <is>
          <t>warm, sensual, cozy, deep, sweet</t>
        </is>
      </c>
      <c r="N75" s="5" t="inlineStr">
        <is>
          <t>tooSweet, tooStrong</t>
        </is>
      </c>
      <c r="O75" s="5" t="inlineStr">
        <is>
          <t>strong</t>
        </is>
      </c>
      <c r="P75" s="5" t="inlineStr">
        <is>
          <t>mid</t>
        </is>
      </c>
      <c r="Q75" s="5" t="inlineStr">
        <is>
          <t>가을·겨울 · 저녁</t>
        </is>
      </c>
      <c r="R75" s="5" t="inlineStr">
        <is>
          <t>촛불 켠 저녁 같은 따뜻하고 달콤한 앰버 향</t>
        </is>
      </c>
      <c r="S75" s="5" t="inlineStr">
        <is>
          <t>시간이 지나도 포근한 앰버와 바닐라가 길게 남아요</t>
        </is>
      </c>
      <c r="T75" s="5" t="inlineStr">
        <is>
          <t>앰버의 달콤함과 진한 정도를 확인해 보세요</t>
        </is>
      </c>
      <c r="U75" s="6" t="n"/>
      <c r="V75" s="6" t="n"/>
      <c r="W75" s="6" t="n"/>
      <c r="X75" s="6" t="n"/>
      <c r="Y75" s="4" t="inlineStr">
        <is>
          <t>메종 프란시스 커정 백화점</t>
        </is>
      </c>
      <c r="Z75" s="6" t="inlineStr">
        <is>
          <t>백화점</t>
        </is>
      </c>
      <c r="AA75" s="6" t="n"/>
      <c r="AB75" s="6" t="n"/>
      <c r="AC75" s="4" t="inlineStr">
        <is>
          <t>AI 초안 (공식 확인 전)</t>
        </is>
      </c>
      <c r="AD75" s="4" t="inlineStr">
        <is>
          <t>노트·농도 공식 확인 / 국내 정가 / 이미지 / 시향 가능 채널</t>
        </is>
      </c>
      <c r="AE75" s="6" t="inlineStr">
        <is>
          <t>보통 (앱에 표시)</t>
        </is>
      </c>
    </row>
    <row r="76">
      <c r="A76" s="4" t="inlineStr">
        <is>
          <t>mfk-gentle-fluidity-gold</t>
        </is>
      </c>
      <c r="B76" s="4" t="inlineStr">
        <is>
          <t>Maison Francis Kurkdjian</t>
        </is>
      </c>
      <c r="C76" s="5" t="inlineStr">
        <is>
          <t>메종 프란시스 커정</t>
        </is>
      </c>
      <c r="D76" s="4" t="inlineStr">
        <is>
          <t>Gentle Fluidity Gold</t>
        </is>
      </c>
      <c r="E76" s="5" t="inlineStr">
        <is>
          <t>젠틀 플루이디티 골드</t>
        </is>
      </c>
      <c r="F76" s="5" t="inlineStr">
        <is>
          <t>EDP</t>
        </is>
      </c>
      <c r="G76" s="5" t="inlineStr">
        <is>
          <t>Juniper Berries, Coriander, Nutmeg</t>
        </is>
      </c>
      <c r="H76" s="5" t="inlineStr">
        <is>
          <t>Musk</t>
        </is>
      </c>
      <c r="I76" s="5" t="inlineStr">
        <is>
          <t>Vanilla, Amber</t>
        </is>
      </c>
      <c r="J76" s="6" t="n"/>
      <c r="K76" s="5" t="inlineStr">
        <is>
          <t>amber</t>
        </is>
      </c>
      <c r="L76" s="5" t="inlineStr">
        <is>
          <t>gourmand, spicy</t>
        </is>
      </c>
      <c r="M76" s="5" t="inlineStr">
        <is>
          <t>warm, soft, cozy, sweet</t>
        </is>
      </c>
      <c r="N76" s="5" t="n"/>
      <c r="O76" s="5" t="inlineStr">
        <is>
          <t>medium</t>
        </is>
      </c>
      <c r="P76" s="5" t="inlineStr">
        <is>
          <t>mid</t>
        </is>
      </c>
      <c r="Q76" s="5" t="inlineStr">
        <is>
          <t>가을·겨울 · 데일리</t>
        </is>
      </c>
      <c r="R76" s="5" t="inlineStr">
        <is>
          <t>향신료와 바닐라가 부드럽게 어우러진 따뜻한 향</t>
        </is>
      </c>
      <c r="S76" s="5" t="inlineStr">
        <is>
          <t>시간이 지나면 부드러운 바닐라 앰버가 남아요</t>
        </is>
      </c>
      <c r="T76" s="5" t="inlineStr">
        <is>
          <t>첫 향의 알싸함이 바닐라로 바뀌는 순간을 맡아보세요</t>
        </is>
      </c>
      <c r="U76" s="6" t="n"/>
      <c r="V76" s="6" t="n"/>
      <c r="W76" s="6" t="n"/>
      <c r="X76" s="6" t="n"/>
      <c r="Y76" s="4" t="inlineStr">
        <is>
          <t>메종 프란시스 커정 백화점</t>
        </is>
      </c>
      <c r="Z76" s="6" t="inlineStr">
        <is>
          <t>백화점</t>
        </is>
      </c>
      <c r="AA76" s="6" t="n"/>
      <c r="AB76" s="6" t="n"/>
      <c r="AC76" s="4" t="inlineStr">
        <is>
          <t>AI 초안 (공식 확인 전)</t>
        </is>
      </c>
      <c r="AD76" s="4" t="inlineStr">
        <is>
          <t>노트·농도 공식 확인 / 국내 정가 / 이미지 / 시향 가능 채널</t>
        </is>
      </c>
      <c r="AE76" s="6" t="inlineStr">
        <is>
          <t>보통 (앱에 표시)</t>
        </is>
      </c>
    </row>
    <row r="77">
      <c r="A77" s="4" t="inlineStr">
        <is>
          <t>initio-oud-for-greatness</t>
        </is>
      </c>
      <c r="B77" s="4" t="inlineStr">
        <is>
          <t>Initio</t>
        </is>
      </c>
      <c r="C77" s="5" t="inlineStr">
        <is>
          <t>이니시오</t>
        </is>
      </c>
      <c r="D77" s="4" t="inlineStr">
        <is>
          <t>Oud for Greatness</t>
        </is>
      </c>
      <c r="E77" s="5" t="inlineStr">
        <is>
          <t>우드 포 그레이트니스</t>
        </is>
      </c>
      <c r="F77" s="5" t="inlineStr">
        <is>
          <t>EDP</t>
        </is>
      </c>
      <c r="G77" s="5" t="inlineStr">
        <is>
          <t>Saffron, Nutmeg, Lavender</t>
        </is>
      </c>
      <c r="H77" s="5" t="inlineStr">
        <is>
          <t>Oud</t>
        </is>
      </c>
      <c r="I77" s="5" t="inlineStr">
        <is>
          <t>Patchouli, Musk</t>
        </is>
      </c>
      <c r="J77" s="6" t="n"/>
      <c r="K77" s="5" t="inlineStr">
        <is>
          <t>woody</t>
        </is>
      </c>
      <c r="L77" s="5" t="inlineStr">
        <is>
          <t>spicy, aromatic</t>
        </is>
      </c>
      <c r="M77" s="5" t="inlineStr">
        <is>
          <t>deep, warm, sensual, elegant</t>
        </is>
      </c>
      <c r="N77" s="5" t="inlineStr">
        <is>
          <t>tooStrong, smoky, headache</t>
        </is>
      </c>
      <c r="O77" s="5" t="inlineStr">
        <is>
          <t>strong</t>
        </is>
      </c>
      <c r="P77" s="5" t="inlineStr">
        <is>
          <t>high</t>
        </is>
      </c>
      <c r="Q77" s="5" t="inlineStr">
        <is>
          <t>가을·겨울 · 저녁</t>
        </is>
      </c>
      <c r="R77" s="5" t="inlineStr">
        <is>
          <t>사프란과 우드가 어우러진 진하고 묵직한 향</t>
        </is>
      </c>
      <c r="S77" s="5" t="inlineStr">
        <is>
          <t>시간이 지나도 우디한 향이 오래 남아요</t>
        </is>
      </c>
      <c r="T77" s="5" t="inlineStr">
        <is>
          <t>향의 진함이 부담스럽지 않은지 한 번만 뿌려 확인해 보세요</t>
        </is>
      </c>
      <c r="U77" s="6" t="n"/>
      <c r="V77" s="6" t="n"/>
      <c r="W77" s="6" t="n"/>
      <c r="X77" s="6" t="n"/>
      <c r="Y77" s="4" t="inlineStr">
        <is>
          <t>이니시오 백화점</t>
        </is>
      </c>
      <c r="Z77" s="6" t="inlineStr">
        <is>
          <t>[확인 필요]</t>
        </is>
      </c>
      <c r="AA77" s="6" t="n"/>
      <c r="AB77" s="6" t="n"/>
      <c r="AC77" s="4" t="inlineStr">
        <is>
          <t>AI 초안 (공식 확인 전)</t>
        </is>
      </c>
      <c r="AD77" s="4" t="inlineStr">
        <is>
          <t>노트·농도 공식 확인 / 국내 정가 / 이미지 / 시향 가능 채널</t>
        </is>
      </c>
      <c r="AE77" s="6" t="inlineStr">
        <is>
          <t>미확인</t>
        </is>
      </c>
    </row>
    <row r="78">
      <c r="A78" s="4" t="inlineStr">
        <is>
          <t>nishane-hacivat</t>
        </is>
      </c>
      <c r="B78" s="4" t="inlineStr">
        <is>
          <t>Nishane</t>
        </is>
      </c>
      <c r="C78" s="5" t="inlineStr">
        <is>
          <t>니샤네</t>
        </is>
      </c>
      <c r="D78" s="4" t="inlineStr">
        <is>
          <t>Hacivat</t>
        </is>
      </c>
      <c r="E78" s="5" t="inlineStr">
        <is>
          <t>하지바트</t>
        </is>
      </c>
      <c r="F78" s="5" t="inlineStr">
        <is>
          <t>EDP</t>
        </is>
      </c>
      <c r="G78" s="5" t="inlineStr">
        <is>
          <t>Pineapple, Grapefruit, Bergamot</t>
        </is>
      </c>
      <c r="H78" s="5" t="inlineStr">
        <is>
          <t>Jasmine</t>
        </is>
      </c>
      <c r="I78" s="5" t="inlineStr">
        <is>
          <t>Cedar, Oakmoss, Patchouli</t>
        </is>
      </c>
      <c r="J78" s="6" t="n"/>
      <c r="K78" s="5" t="inlineStr">
        <is>
          <t>fruity</t>
        </is>
      </c>
      <c r="L78" s="5" t="inlineStr">
        <is>
          <t>woody, citrus</t>
        </is>
      </c>
      <c r="M78" s="5" t="inlineStr">
        <is>
          <t>fresh, zesty, elegant</t>
        </is>
      </c>
      <c r="N78" s="5" t="n"/>
      <c r="O78" s="5" t="inlineStr">
        <is>
          <t>medium</t>
        </is>
      </c>
      <c r="P78" s="5" t="inlineStr">
        <is>
          <t>mid</t>
        </is>
      </c>
      <c r="Q78" s="5" t="inlineStr">
        <is>
          <t>봄·여름 · 데일리</t>
        </is>
      </c>
      <c r="R78" s="5" t="inlineStr">
        <is>
          <t>파인애플과 자몽의 상큼함 뒤로 이끼 향이 이어지는 향</t>
        </is>
      </c>
      <c r="S78" s="5" t="inlineStr">
        <is>
          <t>시간이 지나면 이끼와 나무 향이 차분하게 남아요</t>
        </is>
      </c>
      <c r="T78" s="5" t="inlineStr">
        <is>
          <t>상큼한 과일이 이끼 향으로 변하는 흐름을 맡아보세요</t>
        </is>
      </c>
      <c r="U78" s="6" t="n"/>
      <c r="V78" s="6" t="n"/>
      <c r="W78" s="6" t="n"/>
      <c r="X78" s="6" t="n"/>
      <c r="Y78" s="4" t="inlineStr">
        <is>
          <t>니샤네 백화점</t>
        </is>
      </c>
      <c r="Z78" s="6" t="inlineStr">
        <is>
          <t>[확인 필요]</t>
        </is>
      </c>
      <c r="AA78" s="6" t="n"/>
      <c r="AB78" s="6" t="n"/>
      <c r="AC78" s="4" t="inlineStr">
        <is>
          <t>AI 초안 (공식 확인 전)</t>
        </is>
      </c>
      <c r="AD78" s="4" t="inlineStr">
        <is>
          <t>노트·농도 공식 확인 / 국내 정가 / 이미지 / 시향 가능 채널</t>
        </is>
      </c>
      <c r="AE78" s="6" t="inlineStr">
        <is>
          <t>미확인</t>
        </is>
      </c>
    </row>
    <row r="79">
      <c r="A79" s="4" t="inlineStr">
        <is>
          <t>byredo-mojave-ghost</t>
        </is>
      </c>
      <c r="B79" s="4" t="inlineStr">
        <is>
          <t>Byredo</t>
        </is>
      </c>
      <c r="C79" s="5" t="inlineStr">
        <is>
          <t>바이레도</t>
        </is>
      </c>
      <c r="D79" s="4" t="inlineStr">
        <is>
          <t>Mojave Ghost</t>
        </is>
      </c>
      <c r="E79" s="5" t="inlineStr">
        <is>
          <t>모하비 고스트</t>
        </is>
      </c>
      <c r="F79" s="5" t="inlineStr">
        <is>
          <t>EDP</t>
        </is>
      </c>
      <c r="G79" s="5" t="inlineStr">
        <is>
          <t>Ambrette</t>
        </is>
      </c>
      <c r="H79" s="5" t="inlineStr">
        <is>
          <t>Violet, Magnolia, Sandalwood</t>
        </is>
      </c>
      <c r="I79" s="5" t="inlineStr">
        <is>
          <t>Musk, Cedar, Amber</t>
        </is>
      </c>
      <c r="J79" s="6" t="n"/>
      <c r="K79" s="5" t="inlineStr">
        <is>
          <t>musk</t>
        </is>
      </c>
      <c r="L79" s="5" t="inlineStr">
        <is>
          <t>floral, powdery, woody</t>
        </is>
      </c>
      <c r="M79" s="5" t="inlineStr">
        <is>
          <t>soft, clean, calm, lovely</t>
        </is>
      </c>
      <c r="N79" s="5" t="inlineStr">
        <is>
          <t>powdery</t>
        </is>
      </c>
      <c r="O79" s="5" t="inlineStr">
        <is>
          <t>medium</t>
        </is>
      </c>
      <c r="P79" s="5" t="inlineStr">
        <is>
          <t>low</t>
        </is>
      </c>
      <c r="Q79" s="5" t="inlineStr">
        <is>
          <t>사계절 · 데일리</t>
        </is>
      </c>
      <c r="R79" s="5" t="inlineStr">
        <is>
          <t>사막에 핀 하얀 꽃 같은 보송하고 부드러운 향</t>
        </is>
      </c>
      <c r="S79" s="5" t="inlineStr">
        <is>
          <t>몇 시간 뒤엔 보송한 머스크와 나무 향이 남아요</t>
        </is>
      </c>
      <c r="T79" s="5" t="inlineStr">
        <is>
          <t>꽃 향이 보송하게 퍼지는지 확인해 보세요</t>
        </is>
      </c>
      <c r="U79" s="6" t="n">
        <v>50</v>
      </c>
      <c r="V79" s="10" t="n">
        <v>305000</v>
      </c>
      <c r="W79" s="6" t="inlineStr">
        <is>
          <t>2026-10-07</t>
        </is>
      </c>
      <c r="X79" s="6" t="inlineStr">
        <is>
          <t>https://www.byredo.com/ko_kr/p/mojave-ghost-eau-de-parfum</t>
        </is>
      </c>
      <c r="Y79" s="4" t="inlineStr">
        <is>
          <t>바이레도 백화점</t>
        </is>
      </c>
      <c r="Z79" s="6" t="inlineStr">
        <is>
          <t>[확인 필요]</t>
        </is>
      </c>
      <c r="AA79" s="6" t="inlineStr">
        <is>
          <t>byredo-mojave-ghost.jpg</t>
        </is>
      </c>
      <c r="AB79" s="6" t="inlineStr">
        <is>
          <t>https://www.byredo.com/ko_kr/p/mojave-ghost-eau-de-parfum</t>
        </is>
      </c>
      <c r="AC79" s="4" t="inlineStr">
        <is>
          <t>AI 초안 (공식 확인 전)</t>
        </is>
      </c>
      <c r="AD79" s="4" t="inlineStr">
        <is>
          <t>노트·농도 공식 확인 / 시향 가능 채널 (가격·이미지는 공식 페이지에서 반영됨)</t>
        </is>
      </c>
      <c r="AE79" s="6" t="inlineStr">
        <is>
          <t>미확인</t>
        </is>
      </c>
    </row>
    <row r="80">
      <c r="A80" s="4" t="inlineStr">
        <is>
          <t>byredo-bal-d-afrique</t>
        </is>
      </c>
      <c r="B80" s="4" t="inlineStr">
        <is>
          <t>Byredo</t>
        </is>
      </c>
      <c r="C80" s="5" t="inlineStr">
        <is>
          <t>바이레도</t>
        </is>
      </c>
      <c r="D80" s="4" t="inlineStr">
        <is>
          <t>Bal d'Afrique</t>
        </is>
      </c>
      <c r="E80" s="5" t="inlineStr">
        <is>
          <t>발 다프리크</t>
        </is>
      </c>
      <c r="F80" s="5" t="inlineStr">
        <is>
          <t>EDP</t>
        </is>
      </c>
      <c r="G80" s="5" t="inlineStr">
        <is>
          <t>Bergamot, Lemon</t>
        </is>
      </c>
      <c r="H80" s="5" t="inlineStr">
        <is>
          <t>Violet, Jasmine</t>
        </is>
      </c>
      <c r="I80" s="5" t="inlineStr">
        <is>
          <t>Vetiver, Musk, Amber</t>
        </is>
      </c>
      <c r="J80" s="6" t="n"/>
      <c r="K80" s="5" t="inlineStr">
        <is>
          <t>citrus</t>
        </is>
      </c>
      <c r="L80" s="5" t="inlineStr">
        <is>
          <t>woody</t>
        </is>
      </c>
      <c r="M80" s="5" t="inlineStr">
        <is>
          <t>fresh, zesty, soft, clean, warm</t>
        </is>
      </c>
      <c r="N80" s="5" t="n"/>
      <c r="O80" s="5" t="inlineStr">
        <is>
          <t>medium</t>
        </is>
      </c>
      <c r="P80" s="5" t="inlineStr">
        <is>
          <t>low</t>
        </is>
      </c>
      <c r="Q80" s="5" t="inlineStr">
        <is>
          <t>봄·여름 · 데일리</t>
        </is>
      </c>
      <c r="R80" s="5" t="inlineStr">
        <is>
          <t>시트러스와 우디가 따뜻하게 어우러진 향</t>
        </is>
      </c>
      <c r="S80" s="5" t="inlineStr">
        <is>
          <t>시간이 지나면 베티버와 머스크가 부드럽게 남아요</t>
        </is>
      </c>
      <c r="T80" s="5" t="inlineStr">
        <is>
          <t>상큼한 첫 향이 따뜻한 나무 향으로 바뀌는지 맡아보세요</t>
        </is>
      </c>
      <c r="U80" s="6" t="n">
        <v>50</v>
      </c>
      <c r="V80" s="10" t="n">
        <v>305000</v>
      </c>
      <c r="W80" s="6" t="inlineStr">
        <is>
          <t>2026-10-07</t>
        </is>
      </c>
      <c r="X80" s="6" t="inlineStr">
        <is>
          <t>https://www.byredo.com/ko_kr/p/bal-d-afrique-eau-de-parfum</t>
        </is>
      </c>
      <c r="Y80" s="4" t="inlineStr">
        <is>
          <t>바이레도 백화점</t>
        </is>
      </c>
      <c r="Z80" s="6" t="inlineStr">
        <is>
          <t>[확인 필요]</t>
        </is>
      </c>
      <c r="AA80" s="6" t="inlineStr">
        <is>
          <t>byredo-bal-d-afrique.jpg</t>
        </is>
      </c>
      <c r="AB80" s="6" t="inlineStr">
        <is>
          <t>https://www.byredo.com/ko_kr/p/bal-d-afrique-eau-de-parfum</t>
        </is>
      </c>
      <c r="AC80" s="4" t="inlineStr">
        <is>
          <t>AI 초안 (공식 확인 전)</t>
        </is>
      </c>
      <c r="AD80" s="4" t="inlineStr">
        <is>
          <t>노트·농도 공식 확인 / 시향 가능 채널 (가격·이미지는 공식 페이지에서 반영됨)</t>
        </is>
      </c>
      <c r="AE80" s="6" t="inlineStr">
        <is>
          <t>미확인</t>
        </is>
      </c>
    </row>
    <row r="81">
      <c r="A81" s="4" t="inlineStr">
        <is>
          <t>byredo-rose-of-no-mans-land</t>
        </is>
      </c>
      <c r="B81" s="4" t="inlineStr">
        <is>
          <t>Byredo</t>
        </is>
      </c>
      <c r="C81" s="5" t="inlineStr">
        <is>
          <t>바이레도</t>
        </is>
      </c>
      <c r="D81" s="4" t="inlineStr">
        <is>
          <t>Rose of No Man's Land</t>
        </is>
      </c>
      <c r="E81" s="5" t="inlineStr">
        <is>
          <t>로즈 오브 노 맨즈 랜드</t>
        </is>
      </c>
      <c r="F81" s="5" t="inlineStr">
        <is>
          <t>EDP</t>
        </is>
      </c>
      <c r="G81" s="5" t="inlineStr">
        <is>
          <t>Pink Pepper, Raspberry</t>
        </is>
      </c>
      <c r="H81" s="5" t="inlineStr">
        <is>
          <t>Rose, Papyrus</t>
        </is>
      </c>
      <c r="I81" s="5" t="inlineStr">
        <is>
          <t>Amber, Musk</t>
        </is>
      </c>
      <c r="J81" s="6" t="n"/>
      <c r="K81" s="5" t="inlineStr">
        <is>
          <t>floral</t>
        </is>
      </c>
      <c r="L81" s="5" t="inlineStr">
        <is>
          <t>spicy, woody</t>
        </is>
      </c>
      <c r="M81" s="5" t="inlineStr">
        <is>
          <t>elegant, deep, soft</t>
        </is>
      </c>
      <c r="N81" s="5" t="n"/>
      <c r="O81" s="5" t="inlineStr">
        <is>
          <t>medium</t>
        </is>
      </c>
      <c r="P81" s="5" t="inlineStr">
        <is>
          <t>mid</t>
        </is>
      </c>
      <c r="Q81" s="5" t="inlineStr">
        <is>
          <t>사계절 · 데이트</t>
        </is>
      </c>
      <c r="R81" s="5" t="inlineStr">
        <is>
          <t>후추의 알싸함이 더해진 건조하고 우아한 장미 향</t>
        </is>
      </c>
      <c r="S81" s="5" t="inlineStr">
        <is>
          <t>시간이 지나면 앰버와 머스크가 포근하게 남아요</t>
        </is>
      </c>
      <c r="T81" s="5" t="inlineStr">
        <is>
          <t>장미가 달콤하지 않고 건조한지 확인해 보세요</t>
        </is>
      </c>
      <c r="U81" s="6" t="n">
        <v>50</v>
      </c>
      <c r="V81" s="10" t="n">
        <v>305000</v>
      </c>
      <c r="W81" s="6" t="inlineStr">
        <is>
          <t>2026-10-07</t>
        </is>
      </c>
      <c r="X81" s="6" t="inlineStr">
        <is>
          <t>https://www.byredo.com/ko_kr/p/rose-of-no-mans-land-eau-de-parfum</t>
        </is>
      </c>
      <c r="Y81" s="4" t="inlineStr">
        <is>
          <t>바이레도 백화점</t>
        </is>
      </c>
      <c r="Z81" s="6" t="inlineStr">
        <is>
          <t>[확인 필요]</t>
        </is>
      </c>
      <c r="AA81" s="6" t="inlineStr">
        <is>
          <t>byredo-rose-of-no-mans-land.jpg</t>
        </is>
      </c>
      <c r="AB81" s="6" t="inlineStr">
        <is>
          <t>https://www.byredo.com/ko_kr/p/rose-of-no-mans-land-eau-de-parfum</t>
        </is>
      </c>
      <c r="AC81" s="4" t="inlineStr">
        <is>
          <t>AI 초안 (공식 확인 전)</t>
        </is>
      </c>
      <c r="AD81" s="4" t="inlineStr">
        <is>
          <t>노트·농도 공식 확인 / 시향 가능 채널 (가격·이미지는 공식 페이지에서 반영됨)</t>
        </is>
      </c>
      <c r="AE81" s="6" t="inlineStr">
        <is>
          <t>미확인</t>
        </is>
      </c>
    </row>
    <row r="82">
      <c r="A82" s="4" t="inlineStr">
        <is>
          <t>byredo-bibliotheque</t>
        </is>
      </c>
      <c r="B82" s="4" t="inlineStr">
        <is>
          <t>Byredo</t>
        </is>
      </c>
      <c r="C82" s="5" t="inlineStr">
        <is>
          <t>바이레도</t>
        </is>
      </c>
      <c r="D82" s="4" t="inlineStr">
        <is>
          <t>Bibliothèque</t>
        </is>
      </c>
      <c r="E82" s="5" t="inlineStr">
        <is>
          <t>비블리오테크</t>
        </is>
      </c>
      <c r="F82" s="5" t="inlineStr">
        <is>
          <t>EDP</t>
        </is>
      </c>
      <c r="G82" s="5" t="inlineStr">
        <is>
          <t>Plum, Peach</t>
        </is>
      </c>
      <c r="H82" s="5" t="inlineStr">
        <is>
          <t>Peony, Violet</t>
        </is>
      </c>
      <c r="I82" s="5" t="inlineStr">
        <is>
          <t>Leather, Vanilla, Patchouli</t>
        </is>
      </c>
      <c r="J82" s="6" t="n"/>
      <c r="K82" s="5" t="inlineStr">
        <is>
          <t>leather</t>
        </is>
      </c>
      <c r="L82" s="5" t="inlineStr">
        <is>
          <t>fruity, gourmand, powdery</t>
        </is>
      </c>
      <c r="M82" s="5" t="inlineStr">
        <is>
          <t>cozy, warm, soft</t>
        </is>
      </c>
      <c r="N82" s="5" t="n"/>
      <c r="O82" s="5" t="inlineStr">
        <is>
          <t>medium</t>
        </is>
      </c>
      <c r="P82" s="5" t="inlineStr">
        <is>
          <t>mid</t>
        </is>
      </c>
      <c r="Q82" s="5" t="inlineStr">
        <is>
          <t>가을·겨울 · 휴식</t>
        </is>
      </c>
      <c r="R82" s="5" t="inlineStr">
        <is>
          <t>오래된 책과 가죽 소파 같은 포근한 향</t>
        </is>
      </c>
      <c r="S82" s="5" t="inlineStr">
        <is>
          <t>시간이 지나면 바닐라와 가죽이 부드럽게 남아요</t>
        </is>
      </c>
      <c r="T82" s="5" t="inlineStr">
        <is>
          <t>과일 향과 가죽 향이 만나는 순간을 맡아보세요</t>
        </is>
      </c>
      <c r="U82" s="6" t="n">
        <v>50</v>
      </c>
      <c r="V82" s="10" t="n">
        <v>305000</v>
      </c>
      <c r="W82" s="6" t="inlineStr">
        <is>
          <t>2026-10-07</t>
        </is>
      </c>
      <c r="X82" s="6" t="inlineStr">
        <is>
          <t>https://www.byredo.com/ko_kr/p/bibliotheque-eau-de-parfum</t>
        </is>
      </c>
      <c r="Y82" s="4" t="inlineStr">
        <is>
          <t>바이레도 백화점</t>
        </is>
      </c>
      <c r="Z82" s="6" t="inlineStr">
        <is>
          <t>[확인 필요]</t>
        </is>
      </c>
      <c r="AA82" s="6" t="inlineStr">
        <is>
          <t>byredo-bibliotheque.jpg</t>
        </is>
      </c>
      <c r="AB82" s="6" t="inlineStr">
        <is>
          <t>https://www.byredo.com/ko_kr/p/bibliotheque-eau-de-parfum</t>
        </is>
      </c>
      <c r="AC82" s="4" t="inlineStr">
        <is>
          <t>AI 초안 (공식 확인 전)</t>
        </is>
      </c>
      <c r="AD82" s="4" t="inlineStr">
        <is>
          <t>노트·농도 공식 확인 / 시향 가능 채널 (가격·이미지는 공식 페이지에서 반영됨)</t>
        </is>
      </c>
      <c r="AE82" s="6" t="inlineStr">
        <is>
          <t>미확인</t>
        </is>
      </c>
    </row>
    <row r="83">
      <c r="A83" s="4" t="inlineStr">
        <is>
          <t>diptyque-eau-duelle</t>
        </is>
      </c>
      <c r="B83" s="4" t="inlineStr">
        <is>
          <t>Diptyque</t>
        </is>
      </c>
      <c r="C83" s="5" t="inlineStr">
        <is>
          <t>딥티크</t>
        </is>
      </c>
      <c r="D83" s="4" t="inlineStr">
        <is>
          <t>Eau Duelle</t>
        </is>
      </c>
      <c r="E83" s="5" t="inlineStr">
        <is>
          <t>오 뒤엘</t>
        </is>
      </c>
      <c r="F83" s="5" t="inlineStr">
        <is>
          <t>EDT</t>
        </is>
      </c>
      <c r="G83" s="5" t="inlineStr">
        <is>
          <t>Pink Pepper, Juniper Berries</t>
        </is>
      </c>
      <c r="H83" s="5" t="inlineStr">
        <is>
          <t>Cardamom, Incense</t>
        </is>
      </c>
      <c r="I83" s="5" t="inlineStr">
        <is>
          <t>Vanilla, Styrax</t>
        </is>
      </c>
      <c r="J83" s="6" t="n"/>
      <c r="K83" s="5" t="inlineStr">
        <is>
          <t>spicy</t>
        </is>
      </c>
      <c r="L83" s="5" t="inlineStr">
        <is>
          <t>amber, gourmand</t>
        </is>
      </c>
      <c r="M83" s="5" t="inlineStr">
        <is>
          <t>warm, cozy, soft, calm</t>
        </is>
      </c>
      <c r="N83" s="5" t="inlineStr">
        <is>
          <t>spicy, smoky</t>
        </is>
      </c>
      <c r="O83" s="5" t="inlineStr">
        <is>
          <t>medium</t>
        </is>
      </c>
      <c r="P83" s="5" t="inlineStr">
        <is>
          <t>mid</t>
        </is>
      </c>
      <c r="Q83" s="5" t="inlineStr">
        <is>
          <t>가을·겨울 · 휴식</t>
        </is>
      </c>
      <c r="R83" s="5" t="inlineStr">
        <is>
          <t>향신료와 바닐라가 고요하게 어우러진 따뜻한 향</t>
        </is>
      </c>
      <c r="S83" s="5" t="inlineStr">
        <is>
          <t>시간이 지나면 부드러운 바닐라와 인센스가 남아요</t>
        </is>
      </c>
      <c r="T83" s="5" t="inlineStr">
        <is>
          <t>알싸한 첫 향이 바닐라로 바뀌는 흐름을 맡아보세요</t>
        </is>
      </c>
      <c r="U83" s="6" t="n"/>
      <c r="V83" s="6" t="n"/>
      <c r="W83" s="6" t="n"/>
      <c r="X83" s="6" t="n"/>
      <c r="Y83" s="4" t="inlineStr">
        <is>
          <t>딥티크 백화점</t>
        </is>
      </c>
      <c r="Z83" s="6" t="inlineStr">
        <is>
          <t>브랜드 매장</t>
        </is>
      </c>
      <c r="AA83" s="6" t="n"/>
      <c r="AB83" s="6" t="n"/>
      <c r="AC83" s="4" t="inlineStr">
        <is>
          <t>AI 초안 (공식 확인 전)</t>
        </is>
      </c>
      <c r="AD83" s="4" t="inlineStr">
        <is>
          <t>노트·농도 공식 확인 / 국내 정가 / 이미지 / 시향 가능 채널</t>
        </is>
      </c>
      <c r="AE83" s="6" t="inlineStr">
        <is>
          <t>높음 (앱에 표시)</t>
        </is>
      </c>
    </row>
    <row r="84">
      <c r="A84" s="4" t="inlineStr">
        <is>
          <t>diptyque-orpheon</t>
        </is>
      </c>
      <c r="B84" s="4" t="inlineStr">
        <is>
          <t>Diptyque</t>
        </is>
      </c>
      <c r="C84" s="5" t="inlineStr">
        <is>
          <t>딥티크</t>
        </is>
      </c>
      <c r="D84" s="4" t="inlineStr">
        <is>
          <t>Orphéon</t>
        </is>
      </c>
      <c r="E84" s="5" t="inlineStr">
        <is>
          <t>오르페옹</t>
        </is>
      </c>
      <c r="F84" s="5" t="inlineStr">
        <is>
          <t>EDP</t>
        </is>
      </c>
      <c r="G84" s="5" t="inlineStr">
        <is>
          <t>Juniper Berries</t>
        </is>
      </c>
      <c r="H84" s="5" t="inlineStr">
        <is>
          <t>Jasmine, Cedar</t>
        </is>
      </c>
      <c r="I84" s="5" t="inlineStr">
        <is>
          <t>Tonka Bean, Musk</t>
        </is>
      </c>
      <c r="J84" s="6" t="n"/>
      <c r="K84" s="5" t="inlineStr">
        <is>
          <t>woody</t>
        </is>
      </c>
      <c r="L84" s="5" t="inlineStr">
        <is>
          <t>aromatic, whiteFloral</t>
        </is>
      </c>
      <c r="M84" s="5" t="inlineStr">
        <is>
          <t>warm, elegant, cozy, calm</t>
        </is>
      </c>
      <c r="N84" s="5" t="n"/>
      <c r="O84" s="5" t="inlineStr">
        <is>
          <t>medium</t>
        </is>
      </c>
      <c r="P84" s="5" t="inlineStr">
        <is>
          <t>mid</t>
        </is>
      </c>
      <c r="Q84" s="5" t="inlineStr">
        <is>
          <t>가을·겨울 · 저녁</t>
        </is>
      </c>
      <c r="R84" s="5" t="inlineStr">
        <is>
          <t>재즈 카페 같은 부드럽고 따뜻한 나무 향</t>
        </is>
      </c>
      <c r="S84" s="5" t="inlineStr">
        <is>
          <t>시간이 지나면 달콤한 통카빈과 머스크가 남아요</t>
        </is>
      </c>
      <c r="T84" s="5" t="inlineStr">
        <is>
          <t>주니퍼의 상쾌함이 나무 향으로 이어지는지 맡아보세요</t>
        </is>
      </c>
      <c r="U84" s="6" t="n"/>
      <c r="V84" s="6" t="n"/>
      <c r="W84" s="6" t="n"/>
      <c r="X84" s="6" t="n"/>
      <c r="Y84" s="4" t="inlineStr">
        <is>
          <t>딥티크 백화점</t>
        </is>
      </c>
      <c r="Z84" s="6" t="inlineStr">
        <is>
          <t>브랜드 매장</t>
        </is>
      </c>
      <c r="AA84" s="6" t="n"/>
      <c r="AB84" s="6" t="n"/>
      <c r="AC84" s="4" t="inlineStr">
        <is>
          <t>AI 초안 (공식 확인 전)</t>
        </is>
      </c>
      <c r="AD84" s="4" t="inlineStr">
        <is>
          <t>노트·농도 공식 확인 / 국내 정가 / 이미지 / 시향 가능 채널</t>
        </is>
      </c>
      <c r="AE84" s="6" t="inlineStr">
        <is>
          <t>높음 (앱에 표시)</t>
        </is>
      </c>
    </row>
    <row r="85">
      <c r="A85" s="4" t="inlineStr">
        <is>
          <t>tom-ford-lost-cherry</t>
        </is>
      </c>
      <c r="B85" s="4" t="inlineStr">
        <is>
          <t>Tom Ford</t>
        </is>
      </c>
      <c r="C85" s="5" t="inlineStr">
        <is>
          <t>톰 포드</t>
        </is>
      </c>
      <c r="D85" s="4" t="inlineStr">
        <is>
          <t>Lost Cherry</t>
        </is>
      </c>
      <c r="E85" s="5" t="inlineStr">
        <is>
          <t>로스트 체리</t>
        </is>
      </c>
      <c r="F85" s="5" t="inlineStr">
        <is>
          <t>EDP</t>
        </is>
      </c>
      <c r="G85" s="5" t="inlineStr">
        <is>
          <t>Cherry, Almond</t>
        </is>
      </c>
      <c r="H85" s="5" t="inlineStr">
        <is>
          <t>Rose, Jasmine</t>
        </is>
      </c>
      <c r="I85" s="5" t="inlineStr">
        <is>
          <t>Tonka Bean, Sandalwood, Cedar</t>
        </is>
      </c>
      <c r="J85" s="6" t="n"/>
      <c r="K85" s="5" t="inlineStr">
        <is>
          <t>gourmand</t>
        </is>
      </c>
      <c r="L85" s="5" t="inlineStr">
        <is>
          <t>fruity, floral</t>
        </is>
      </c>
      <c r="M85" s="5" t="inlineStr">
        <is>
          <t>sweet, sensual, warm, elegant</t>
        </is>
      </c>
      <c r="N85" s="5" t="inlineStr">
        <is>
          <t>tooSweet, tooStrong</t>
        </is>
      </c>
      <c r="O85" s="5" t="inlineStr">
        <is>
          <t>strong</t>
        </is>
      </c>
      <c r="P85" s="5" t="inlineStr">
        <is>
          <t>high</t>
        </is>
      </c>
      <c r="Q85" s="5" t="inlineStr">
        <is>
          <t>가을·겨울 · 저녁</t>
        </is>
      </c>
      <c r="R85" s="5" t="inlineStr">
        <is>
          <t>체리 시럽과 아몬드가 진하게 어우러진 달콤한 향</t>
        </is>
      </c>
      <c r="S85" s="5" t="inlineStr">
        <is>
          <t>시간이 지나도 달콤한 통카빈 향이 오래 남아요</t>
        </is>
      </c>
      <c r="T85" s="5" t="inlineStr">
        <is>
          <t>체리와 아몬드의 달콤함이 부담스럽지 않은지 확인해 보세요</t>
        </is>
      </c>
      <c r="U85" s="6" t="n"/>
      <c r="V85" s="6" t="n"/>
      <c r="W85" s="6" t="n"/>
      <c r="X85" s="6" t="n"/>
      <c r="Y85" s="4" t="inlineStr">
        <is>
          <t>톰 포드 뷰티 백화점</t>
        </is>
      </c>
      <c r="Z85" s="6" t="inlineStr">
        <is>
          <t>백화점</t>
        </is>
      </c>
      <c r="AA85" s="6" t="n"/>
      <c r="AB85" s="6" t="n"/>
      <c r="AC85" s="4" t="inlineStr">
        <is>
          <t>AI 초안 (공식 확인 전)</t>
        </is>
      </c>
      <c r="AD85" s="4" t="inlineStr">
        <is>
          <t>노트·농도 공식 확인 / 국내 정가 / 이미지 / 시향 가능 채널</t>
        </is>
      </c>
      <c r="AE85" s="6" t="inlineStr">
        <is>
          <t>보통 (앱에 표시)</t>
        </is>
      </c>
    </row>
    <row r="86">
      <c r="A86" s="4" t="inlineStr">
        <is>
          <t>tom-ford-soleil-blanc</t>
        </is>
      </c>
      <c r="B86" s="4" t="inlineStr">
        <is>
          <t>Tom Ford</t>
        </is>
      </c>
      <c r="C86" s="5" t="inlineStr">
        <is>
          <t>톰 포드</t>
        </is>
      </c>
      <c r="D86" s="4" t="inlineStr">
        <is>
          <t>Soleil Blanc</t>
        </is>
      </c>
      <c r="E86" s="5" t="inlineStr">
        <is>
          <t>솔레이 블랑</t>
        </is>
      </c>
      <c r="F86" s="5" t="inlineStr">
        <is>
          <t>EDP</t>
        </is>
      </c>
      <c r="G86" s="5" t="inlineStr">
        <is>
          <t>Bergamot, Pink Pepper</t>
        </is>
      </c>
      <c r="H86" s="5" t="inlineStr">
        <is>
          <t>Ylang-Ylang, Jasmine, Coconut</t>
        </is>
      </c>
      <c r="I86" s="5" t="inlineStr">
        <is>
          <t>Amber, Tonka Bean, Vanilla</t>
        </is>
      </c>
      <c r="J86" s="6" t="n"/>
      <c r="K86" s="5" t="inlineStr">
        <is>
          <t>whiteFloral</t>
        </is>
      </c>
      <c r="L86" s="5" t="inlineStr">
        <is>
          <t>gourmand, amber, spicy</t>
        </is>
      </c>
      <c r="M86" s="5" t="inlineStr">
        <is>
          <t>warm, sweet, elegant</t>
        </is>
      </c>
      <c r="N86" s="5" t="n"/>
      <c r="O86" s="5" t="inlineStr">
        <is>
          <t>medium</t>
        </is>
      </c>
      <c r="P86" s="5" t="inlineStr">
        <is>
          <t>mid</t>
        </is>
      </c>
      <c r="Q86" s="5" t="inlineStr">
        <is>
          <t>여름 · 휴가</t>
        </is>
      </c>
      <c r="R86" s="5" t="inlineStr">
        <is>
          <t>햇살 가득한 해변의 하얀 꽃과 코코넛 향</t>
        </is>
      </c>
      <c r="S86" s="5" t="inlineStr">
        <is>
          <t>시간이 지나면 따뜻한 앰버와 바닐라가 남아요</t>
        </is>
      </c>
      <c r="T86" s="5" t="inlineStr">
        <is>
          <t>꽃과 코코넛의 달콤함이 맞는지 확인해 보세요</t>
        </is>
      </c>
      <c r="U86" s="6" t="n"/>
      <c r="V86" s="6" t="n"/>
      <c r="W86" s="6" t="n"/>
      <c r="X86" s="6" t="n"/>
      <c r="Y86" s="4" t="inlineStr">
        <is>
          <t>톰 포드 뷰티 백화점</t>
        </is>
      </c>
      <c r="Z86" s="6" t="inlineStr">
        <is>
          <t>백화점</t>
        </is>
      </c>
      <c r="AA86" s="6" t="n"/>
      <c r="AB86" s="6" t="n"/>
      <c r="AC86" s="4" t="inlineStr">
        <is>
          <t>AI 초안 (공식 확인 전)</t>
        </is>
      </c>
      <c r="AD86" s="4" t="inlineStr">
        <is>
          <t>노트·농도 공식 확인 / 국내 정가 / 이미지 / 시향 가능 채널</t>
        </is>
      </c>
      <c r="AE86" s="6" t="inlineStr">
        <is>
          <t>보통 (앱에 표시)</t>
        </is>
      </c>
    </row>
    <row r="87">
      <c r="A87" s="4" t="inlineStr">
        <is>
          <t>tom-ford-tuscan-leather</t>
        </is>
      </c>
      <c r="B87" s="4" t="inlineStr">
        <is>
          <t>Tom Ford</t>
        </is>
      </c>
      <c r="C87" s="5" t="inlineStr">
        <is>
          <t>톰 포드</t>
        </is>
      </c>
      <c r="D87" s="4" t="inlineStr">
        <is>
          <t>Tuscan Leather</t>
        </is>
      </c>
      <c r="E87" s="5" t="inlineStr">
        <is>
          <t>터스칸 레더</t>
        </is>
      </c>
      <c r="F87" s="5" t="inlineStr">
        <is>
          <t>EDP</t>
        </is>
      </c>
      <c r="G87" s="5" t="inlineStr">
        <is>
          <t>Raspberry, Saffron</t>
        </is>
      </c>
      <c r="H87" s="5" t="inlineStr">
        <is>
          <t>Jasmine</t>
        </is>
      </c>
      <c r="I87" s="5" t="inlineStr">
        <is>
          <t>Leather, Suede, Amber</t>
        </is>
      </c>
      <c r="J87" s="6" t="n"/>
      <c r="K87" s="5" t="inlineStr">
        <is>
          <t>leather</t>
        </is>
      </c>
      <c r="L87" s="5" t="inlineStr">
        <is>
          <t>amber, spicy</t>
        </is>
      </c>
      <c r="M87" s="5" t="inlineStr">
        <is>
          <t>deep, warm, elegant, sensual</t>
        </is>
      </c>
      <c r="N87" s="5" t="inlineStr">
        <is>
          <t>tooStrong, smoky</t>
        </is>
      </c>
      <c r="O87" s="5" t="inlineStr">
        <is>
          <t>strong</t>
        </is>
      </c>
      <c r="P87" s="5" t="inlineStr">
        <is>
          <t>high</t>
        </is>
      </c>
      <c r="Q87" s="5" t="inlineStr">
        <is>
          <t>가을·겨울 · 저녁</t>
        </is>
      </c>
      <c r="R87" s="5" t="inlineStr">
        <is>
          <t>진한 가죽에 산딸기와 사프란이 더해진 향</t>
        </is>
      </c>
      <c r="S87" s="5" t="inlineStr">
        <is>
          <t>시간이 지나도 가죽과 앰버가 길게 남아요</t>
        </is>
      </c>
      <c r="T87" s="5" t="inlineStr">
        <is>
          <t>가죽 향의 진한 정도를 확인해 보세요</t>
        </is>
      </c>
      <c r="U87" s="6" t="n"/>
      <c r="V87" s="6" t="n"/>
      <c r="W87" s="6" t="n"/>
      <c r="X87" s="6" t="n"/>
      <c r="Y87" s="4" t="inlineStr">
        <is>
          <t>톰 포드 뷰티 백화점</t>
        </is>
      </c>
      <c r="Z87" s="6" t="inlineStr">
        <is>
          <t>백화점</t>
        </is>
      </c>
      <c r="AA87" s="6" t="n"/>
      <c r="AB87" s="6" t="n"/>
      <c r="AC87" s="4" t="inlineStr">
        <is>
          <t>AI 초안 (공식 확인 전)</t>
        </is>
      </c>
      <c r="AD87" s="4" t="inlineStr">
        <is>
          <t>노트·농도 공식 확인 / 국내 정가 / 이미지 / 시향 가능 채널</t>
        </is>
      </c>
      <c r="AE87" s="6" t="inlineStr">
        <is>
          <t>보통 (앱에 표시)</t>
        </is>
      </c>
    </row>
    <row r="88">
      <c r="A88" s="4" t="inlineStr">
        <is>
          <t>tom-ford-black-orchid</t>
        </is>
      </c>
      <c r="B88" s="4" t="inlineStr">
        <is>
          <t>Tom Ford</t>
        </is>
      </c>
      <c r="C88" s="5" t="inlineStr">
        <is>
          <t>톰 포드</t>
        </is>
      </c>
      <c r="D88" s="4" t="inlineStr">
        <is>
          <t>Black Orchid</t>
        </is>
      </c>
      <c r="E88" s="5" t="inlineStr">
        <is>
          <t>블랙 오키드</t>
        </is>
      </c>
      <c r="F88" s="5" t="inlineStr">
        <is>
          <t>EDP</t>
        </is>
      </c>
      <c r="G88" s="5" t="inlineStr">
        <is>
          <t>Blackcurrant, Ylang-Ylang</t>
        </is>
      </c>
      <c r="H88" s="5" t="inlineStr">
        <is>
          <t>Orchid, Lotus</t>
        </is>
      </c>
      <c r="I88" s="5" t="inlineStr">
        <is>
          <t>Patchouli, Vanilla, Incense, Chocolate</t>
        </is>
      </c>
      <c r="J88" s="6" t="n"/>
      <c r="K88" s="5" t="inlineStr">
        <is>
          <t>floral</t>
        </is>
      </c>
      <c r="L88" s="5" t="inlineStr">
        <is>
          <t>gourmand, amber</t>
        </is>
      </c>
      <c r="M88" s="5" t="inlineStr">
        <is>
          <t>sensual, deep, elegant, warm</t>
        </is>
      </c>
      <c r="N88" s="5" t="inlineStr">
        <is>
          <t>heavyFloral, tooStrong, tooSweet, headache</t>
        </is>
      </c>
      <c r="O88" s="5" t="inlineStr">
        <is>
          <t>strong</t>
        </is>
      </c>
      <c r="P88" s="5" t="inlineStr">
        <is>
          <t>high</t>
        </is>
      </c>
      <c r="Q88" s="5" t="inlineStr">
        <is>
          <t>가을·겨울 · 저녁</t>
        </is>
      </c>
      <c r="R88" s="5" t="inlineStr">
        <is>
          <t>어두운 꽃에 초콜릿과 인센스가 섞인 진하고 관능적인 향</t>
        </is>
      </c>
      <c r="S88" s="5" t="inlineStr">
        <is>
          <t>시간이 지나도 달콤한 패출리와 바닐라가 오래 남아요</t>
        </is>
      </c>
      <c r="T88" s="5" t="inlineStr">
        <is>
          <t>꽃 향이 진해서 호불호가 있으니 충분히 맡아보세요</t>
        </is>
      </c>
      <c r="U88" s="6" t="n"/>
      <c r="V88" s="6" t="n"/>
      <c r="W88" s="6" t="n"/>
      <c r="X88" s="6" t="n"/>
      <c r="Y88" s="4" t="inlineStr">
        <is>
          <t>톰 포드 뷰티 백화점</t>
        </is>
      </c>
      <c r="Z88" s="6" t="inlineStr">
        <is>
          <t>백화점</t>
        </is>
      </c>
      <c r="AA88" s="6" t="n"/>
      <c r="AB88" s="6" t="n"/>
      <c r="AC88" s="4" t="inlineStr">
        <is>
          <t>AI 초안 (공식 확인 전)</t>
        </is>
      </c>
      <c r="AD88" s="4" t="inlineStr">
        <is>
          <t>노트·농도 공식 확인 / 국내 정가 / 이미지 / 시향 가능 채널</t>
        </is>
      </c>
      <c r="AE88" s="6" t="inlineStr">
        <is>
          <t>보통 (앱에 표시)</t>
        </is>
      </c>
    </row>
    <row r="89">
      <c r="A89" s="4" t="inlineStr">
        <is>
          <t>tom-ford-ombre-leather</t>
        </is>
      </c>
      <c r="B89" s="4" t="inlineStr">
        <is>
          <t>Tom Ford</t>
        </is>
      </c>
      <c r="C89" s="5" t="inlineStr">
        <is>
          <t>톰 포드</t>
        </is>
      </c>
      <c r="D89" s="4" t="inlineStr">
        <is>
          <t>Ombré Leather</t>
        </is>
      </c>
      <c r="E89" s="5" t="inlineStr">
        <is>
          <t>옹브레 레더</t>
        </is>
      </c>
      <c r="F89" s="5" t="inlineStr">
        <is>
          <t>EDP</t>
        </is>
      </c>
      <c r="G89" s="5" t="inlineStr">
        <is>
          <t>Cardamom</t>
        </is>
      </c>
      <c r="H89" s="5" t="inlineStr">
        <is>
          <t>Jasmine, Leather</t>
        </is>
      </c>
      <c r="I89" s="5" t="inlineStr">
        <is>
          <t>Patchouli, Amber, Oakmoss</t>
        </is>
      </c>
      <c r="J89" s="6" t="n"/>
      <c r="K89" s="5" t="inlineStr">
        <is>
          <t>leather</t>
        </is>
      </c>
      <c r="L89" s="5" t="inlineStr">
        <is>
          <t>spicy, woody</t>
        </is>
      </c>
      <c r="M89" s="5" t="inlineStr">
        <is>
          <t>warm, sensual, deep</t>
        </is>
      </c>
      <c r="N89" s="5" t="inlineStr">
        <is>
          <t>tooStrong, smoky</t>
        </is>
      </c>
      <c r="O89" s="5" t="inlineStr">
        <is>
          <t>strong</t>
        </is>
      </c>
      <c r="P89" s="5" t="inlineStr">
        <is>
          <t>high</t>
        </is>
      </c>
      <c r="Q89" s="5" t="inlineStr">
        <is>
          <t>가을·겨울 · 저녁</t>
        </is>
      </c>
      <c r="R89" s="5" t="inlineStr">
        <is>
          <t>가죽 재킷 같은 따뜻하고 부드러운 가죽 향</t>
        </is>
      </c>
      <c r="S89" s="5" t="inlineStr">
        <is>
          <t>시간이 지나도 가죽과 패출리가 오래 남아요</t>
        </is>
      </c>
      <c r="T89" s="5" t="inlineStr">
        <is>
          <t>가죽 향이 부드러운지 거친지 확인해 보세요</t>
        </is>
      </c>
      <c r="U89" s="6" t="n"/>
      <c r="V89" s="6" t="n"/>
      <c r="W89" s="6" t="n"/>
      <c r="X89" s="6" t="n"/>
      <c r="Y89" s="4" t="inlineStr">
        <is>
          <t>톰 포드 뷰티 백화점</t>
        </is>
      </c>
      <c r="Z89" s="6" t="inlineStr">
        <is>
          <t>백화점</t>
        </is>
      </c>
      <c r="AA89" s="6" t="n"/>
      <c r="AB89" s="6" t="n"/>
      <c r="AC89" s="4" t="inlineStr">
        <is>
          <t>AI 초안 (공식 확인 전)</t>
        </is>
      </c>
      <c r="AD89" s="4" t="inlineStr">
        <is>
          <t>노트·농도 공식 확인 / 국내 정가 / 이미지 / 시향 가능 채널</t>
        </is>
      </c>
      <c r="AE89" s="6" t="inlineStr">
        <is>
          <t>보통 (앱에 표시)</t>
        </is>
      </c>
    </row>
    <row r="90">
      <c r="A90" s="4" t="inlineStr">
        <is>
          <t>hermessence-vetiver-tonka</t>
        </is>
      </c>
      <c r="B90" s="4" t="inlineStr">
        <is>
          <t>Hermès</t>
        </is>
      </c>
      <c r="C90" s="5" t="inlineStr">
        <is>
          <t>에르메스</t>
        </is>
      </c>
      <c r="D90" s="4" t="inlineStr">
        <is>
          <t>Hermessence Vétiver Tonka</t>
        </is>
      </c>
      <c r="E90" s="5" t="inlineStr">
        <is>
          <t>에르메센스 베티버 통카</t>
        </is>
      </c>
      <c r="F90" s="5" t="inlineStr">
        <is>
          <t>EDT</t>
        </is>
      </c>
      <c r="G90" s="5" t="inlineStr">
        <is>
          <t>Grapefruit, Pink Pepper</t>
        </is>
      </c>
      <c r="H90" s="5" t="inlineStr">
        <is>
          <t>Vetiver</t>
        </is>
      </c>
      <c r="I90" s="5" t="inlineStr">
        <is>
          <t>Tonka Bean</t>
        </is>
      </c>
      <c r="J90" s="6" t="n"/>
      <c r="K90" s="5" t="inlineStr">
        <is>
          <t>woody</t>
        </is>
      </c>
      <c r="L90" s="5" t="inlineStr">
        <is>
          <t>gourmand, citrus</t>
        </is>
      </c>
      <c r="M90" s="5" t="inlineStr">
        <is>
          <t>calm, fresh, warm, elegant</t>
        </is>
      </c>
      <c r="N90" s="5" t="n"/>
      <c r="O90" s="5" t="inlineStr">
        <is>
          <t>medium</t>
        </is>
      </c>
      <c r="P90" s="5" t="inlineStr">
        <is>
          <t>low</t>
        </is>
      </c>
      <c r="Q90" s="5" t="inlineStr">
        <is>
          <t>사계절 · 출근</t>
        </is>
      </c>
      <c r="R90" s="5" t="inlineStr">
        <is>
          <t>자몽의 상큼함 뒤로 부드러운 베티버와 통카빈이 이어지는 향</t>
        </is>
      </c>
      <c r="S90" s="5" t="inlineStr">
        <is>
          <t>시간이 지나면 포근한 통카빈이 은은하게 남아요</t>
        </is>
      </c>
      <c r="T90" s="5" t="inlineStr">
        <is>
          <t>베티버의 풀 향이 달콤하게 바뀌는지 맡아보세요</t>
        </is>
      </c>
      <c r="U90" s="6" t="n"/>
      <c r="V90" s="6" t="n"/>
      <c r="W90" s="6" t="n"/>
      <c r="X90" s="6" t="n"/>
      <c r="Y90" s="4" t="inlineStr">
        <is>
          <t>에르메스 뷰티 백화점</t>
        </is>
      </c>
      <c r="Z90" s="6" t="inlineStr">
        <is>
          <t>면세점</t>
        </is>
      </c>
      <c r="AA90" s="6" t="n"/>
      <c r="AB90" s="6" t="n"/>
      <c r="AC90" s="4" t="inlineStr">
        <is>
          <t>AI 초안 (공식 확인 전)</t>
        </is>
      </c>
      <c r="AD90" s="4" t="inlineStr">
        <is>
          <t>노트·농도 공식 확인 / 국내 정가 / 이미지 / 시향 가능 채널</t>
        </is>
      </c>
      <c r="AE90" s="6" t="inlineStr">
        <is>
          <t>낮음 (앱에 표시 안 함)</t>
        </is>
      </c>
    </row>
    <row r="91">
      <c r="A91" s="4" t="inlineStr">
        <is>
          <t>acqua-di-parma-fico-di-amalfi</t>
        </is>
      </c>
      <c r="B91" s="4" t="inlineStr">
        <is>
          <t>Acqua di Parma</t>
        </is>
      </c>
      <c r="C91" s="5" t="inlineStr">
        <is>
          <t>아쿠아 디 파르마</t>
        </is>
      </c>
      <c r="D91" s="4" t="inlineStr">
        <is>
          <t>Fico di Amalfi</t>
        </is>
      </c>
      <c r="E91" s="5" t="inlineStr">
        <is>
          <t>피코 디 아말피</t>
        </is>
      </c>
      <c r="F91" s="5" t="inlineStr">
        <is>
          <t>EDT</t>
        </is>
      </c>
      <c r="G91" s="5" t="inlineStr">
        <is>
          <t>Bergamot, Grapefruit</t>
        </is>
      </c>
      <c r="H91" s="5" t="inlineStr">
        <is>
          <t>Fig, Jasmine</t>
        </is>
      </c>
      <c r="I91" s="5" t="inlineStr">
        <is>
          <t>Cedar, Musk</t>
        </is>
      </c>
      <c r="J91" s="6" t="n"/>
      <c r="K91" s="5" t="inlineStr">
        <is>
          <t>green</t>
        </is>
      </c>
      <c r="L91" s="5" t="inlineStr">
        <is>
          <t>citrus, fruity</t>
        </is>
      </c>
      <c r="M91" s="5" t="inlineStr">
        <is>
          <t>fresh, zesty, cool, clean</t>
        </is>
      </c>
      <c r="N91" s="5" t="n"/>
      <c r="O91" s="5" t="inlineStr">
        <is>
          <t>light</t>
        </is>
      </c>
      <c r="P91" s="5" t="inlineStr">
        <is>
          <t>low</t>
        </is>
      </c>
      <c r="Q91" s="5" t="inlineStr">
        <is>
          <t>봄·여름 · 데일리</t>
        </is>
      </c>
      <c r="R91" s="5" t="inlineStr">
        <is>
          <t>지중해 무화과와 시트러스의 싱그러운 향</t>
        </is>
      </c>
      <c r="S91" s="5" t="inlineStr">
        <is>
          <t>몇 시간 뒤엔 가벼운 시더와 머스크가 남아요</t>
        </is>
      </c>
      <c r="T91" s="5" t="inlineStr">
        <is>
          <t>무화과의 풋풋함과 시트러스의 균형을 맡아보세요</t>
        </is>
      </c>
      <c r="U91" s="6" t="n"/>
      <c r="V91" s="6" t="n"/>
      <c r="W91" s="6" t="n"/>
      <c r="X91" s="6" t="n"/>
      <c r="Y91" s="4" t="inlineStr">
        <is>
          <t>아쿠아 디 파르마 백화점</t>
        </is>
      </c>
      <c r="Z91" s="6" t="inlineStr">
        <is>
          <t>면세점</t>
        </is>
      </c>
      <c r="AA91" s="6" t="n"/>
      <c r="AB91" s="6" t="n"/>
      <c r="AC91" s="4" t="inlineStr">
        <is>
          <t>AI 초안 (공식 확인 전)</t>
        </is>
      </c>
      <c r="AD91" s="4" t="inlineStr">
        <is>
          <t>노트·농도 공식 확인 / 국내 정가 / 이미지 / 시향 가능 채널</t>
        </is>
      </c>
      <c r="AE91" s="6" t="inlineStr">
        <is>
          <t>낮음 (앱에 표시 안 함)</t>
        </is>
      </c>
    </row>
    <row r="92">
      <c r="A92" s="4" t="inlineStr">
        <is>
          <t>penhaligons-blenheim-bouquet</t>
        </is>
      </c>
      <c r="B92" s="4" t="inlineStr">
        <is>
          <t>Penhaligon's</t>
        </is>
      </c>
      <c r="C92" s="5" t="inlineStr">
        <is>
          <t>펜할리곤스</t>
        </is>
      </c>
      <c r="D92" s="4" t="inlineStr">
        <is>
          <t>Blenheim Bouquet</t>
        </is>
      </c>
      <c r="E92" s="5" t="inlineStr">
        <is>
          <t>블레넘 부케</t>
        </is>
      </c>
      <c r="F92" s="5" t="inlineStr">
        <is>
          <t>EDT</t>
        </is>
      </c>
      <c r="G92" s="5" t="inlineStr">
        <is>
          <t>Lemon, Lime, Pine Needles</t>
        </is>
      </c>
      <c r="H92" s="5" t="inlineStr">
        <is>
          <t>Lavender, Pepper</t>
        </is>
      </c>
      <c r="I92" s="5" t="inlineStr">
        <is>
          <t>Musk, Sandalwood</t>
        </is>
      </c>
      <c r="J92" s="6" t="n"/>
      <c r="K92" s="5" t="inlineStr">
        <is>
          <t>aromatic</t>
        </is>
      </c>
      <c r="L92" s="5" t="inlineStr">
        <is>
          <t>citrus, woody</t>
        </is>
      </c>
      <c r="M92" s="5" t="inlineStr">
        <is>
          <t>fresh, clean, cool, calm</t>
        </is>
      </c>
      <c r="N92" s="5" t="n"/>
      <c r="O92" s="5" t="inlineStr">
        <is>
          <t>medium</t>
        </is>
      </c>
      <c r="P92" s="5" t="inlineStr">
        <is>
          <t>mid</t>
        </is>
      </c>
      <c r="Q92" s="5" t="inlineStr">
        <is>
          <t>사계절 · 출근</t>
        </is>
      </c>
      <c r="R92" s="5" t="inlineStr">
        <is>
          <t>영국 정원 같은 상쾌한 시트러스와 라벤더 향</t>
        </is>
      </c>
      <c r="S92" s="5" t="inlineStr">
        <is>
          <t>시간이 지나면 부드러운 머스크와 나무 향이 남아요</t>
        </is>
      </c>
      <c r="T92" s="5" t="inlineStr">
        <is>
          <t>첫 향의 솔잎과 레몬이 얼마나 알싸한지 맡아보세요</t>
        </is>
      </c>
      <c r="U92" s="6" t="n"/>
      <c r="V92" s="6" t="n"/>
      <c r="W92" s="6" t="n"/>
      <c r="X92" s="6" t="n"/>
      <c r="Y92" s="4" t="inlineStr">
        <is>
          <t>펜할리곤스 백화점</t>
        </is>
      </c>
      <c r="Z92" s="6" t="inlineStr">
        <is>
          <t>백화점</t>
        </is>
      </c>
      <c r="AA92" s="6" t="n"/>
      <c r="AB92" s="6" t="n"/>
      <c r="AC92" s="4" t="inlineStr">
        <is>
          <t>AI 초안 (공식 확인 전)</t>
        </is>
      </c>
      <c r="AD92" s="4" t="inlineStr">
        <is>
          <t>노트·농도 공식 확인 / 국내 정가 / 이미지 / 시향 가능 채널</t>
        </is>
      </c>
      <c r="AE92" s="6" t="inlineStr">
        <is>
          <t>보통 (앱에 표시)</t>
        </is>
      </c>
    </row>
    <row r="93">
      <c r="A93" s="4" t="inlineStr">
        <is>
          <t>atelier-cologne-orange-sanguine</t>
        </is>
      </c>
      <c r="B93" s="4" t="inlineStr">
        <is>
          <t>Atelier Cologne</t>
        </is>
      </c>
      <c r="C93" s="5" t="inlineStr">
        <is>
          <t>아틀리에 코롱</t>
        </is>
      </c>
      <c r="D93" s="4" t="inlineStr">
        <is>
          <t>Orange Sanguine</t>
        </is>
      </c>
      <c r="E93" s="5" t="inlineStr">
        <is>
          <t>오랑쥬 상긴</t>
        </is>
      </c>
      <c r="F93" s="5" t="inlineStr">
        <is>
          <t>Cologne Absolue</t>
        </is>
      </c>
      <c r="G93" s="5" t="inlineStr">
        <is>
          <t>Orange, Mandarin</t>
        </is>
      </c>
      <c r="H93" s="5" t="inlineStr">
        <is>
          <t>Jasmine</t>
        </is>
      </c>
      <c r="I93" s="5" t="inlineStr">
        <is>
          <t>Cedar, Musk</t>
        </is>
      </c>
      <c r="J93" s="6" t="n"/>
      <c r="K93" s="5" t="inlineStr">
        <is>
          <t>citrus</t>
        </is>
      </c>
      <c r="L93" s="5" t="inlineStr">
        <is>
          <t>fruity, whiteFloral</t>
        </is>
      </c>
      <c r="M93" s="5" t="inlineStr">
        <is>
          <t>zesty, fresh, sweet, clean</t>
        </is>
      </c>
      <c r="N93" s="5" t="n"/>
      <c r="O93" s="5" t="inlineStr">
        <is>
          <t>light</t>
        </is>
      </c>
      <c r="P93" s="5" t="inlineStr">
        <is>
          <t>low</t>
        </is>
      </c>
      <c r="Q93" s="5" t="inlineStr">
        <is>
          <t>봄·여름 · 데일리</t>
        </is>
      </c>
      <c r="R93" s="5" t="inlineStr">
        <is>
          <t>블러드 오렌지의 상큼하고 달콤한 향</t>
        </is>
      </c>
      <c r="S93" s="5" t="inlineStr">
        <is>
          <t>몇 시간 뒤엔 가벼운 머스크와 나무 향이 남아요</t>
        </is>
      </c>
      <c r="T93" s="5" t="inlineStr">
        <is>
          <t>오렌지의 상큼함이 얼마나 오래 가는지 확인해 보세요</t>
        </is>
      </c>
      <c r="U93" s="6" t="n"/>
      <c r="V93" s="6" t="n"/>
      <c r="W93" s="6" t="n"/>
      <c r="X93" s="6" t="n"/>
      <c r="Y93" s="4" t="inlineStr">
        <is>
          <t>아틀리에 코롱 백화점</t>
        </is>
      </c>
      <c r="Z93" s="6" t="inlineStr">
        <is>
          <t>[확인 필요]</t>
        </is>
      </c>
      <c r="AA93" s="6" t="n"/>
      <c r="AB93" s="6" t="n"/>
      <c r="AC93" s="4" t="inlineStr">
        <is>
          <t>AI 초안 (공식 확인 전)</t>
        </is>
      </c>
      <c r="AD93" s="4" t="inlineStr">
        <is>
          <t>노트·농도 공식 확인 / 국내 정가 / 이미지 / 시향 가능 채널</t>
        </is>
      </c>
      <c r="AE93" s="6" t="inlineStr">
        <is>
          <t>미확인</t>
        </is>
      </c>
    </row>
    <row r="94">
      <c r="A94" s="4" t="inlineStr">
        <is>
          <t>xerjoff-naxos</t>
        </is>
      </c>
      <c r="B94" s="4" t="inlineStr">
        <is>
          <t>Xerjoff</t>
        </is>
      </c>
      <c r="C94" s="5" t="inlineStr">
        <is>
          <t>제르조프</t>
        </is>
      </c>
      <c r="D94" s="4" t="inlineStr">
        <is>
          <t>Naxos</t>
        </is>
      </c>
      <c r="E94" s="5" t="inlineStr">
        <is>
          <t>낙소스</t>
        </is>
      </c>
      <c r="F94" s="5" t="inlineStr">
        <is>
          <t>EDP</t>
        </is>
      </c>
      <c r="G94" s="5" t="inlineStr">
        <is>
          <t>Bergamot, Lemon, Lavender</t>
        </is>
      </c>
      <c r="H94" s="5" t="inlineStr">
        <is>
          <t>Honey, Cinnamon, Cashmeran</t>
        </is>
      </c>
      <c r="I94" s="5" t="inlineStr">
        <is>
          <t>Tobacco Leaf, Tonka Bean, Vanilla</t>
        </is>
      </c>
      <c r="J94" s="6" t="n"/>
      <c r="K94" s="5" t="inlineStr">
        <is>
          <t>gourmand</t>
        </is>
      </c>
      <c r="L94" s="5" t="inlineStr">
        <is>
          <t>spicy, leather</t>
        </is>
      </c>
      <c r="M94" s="5" t="inlineStr">
        <is>
          <t>sweet, warm, cozy, sensual, deep</t>
        </is>
      </c>
      <c r="N94" s="5" t="inlineStr">
        <is>
          <t>tooSweet, tooStrong, spicy, smoky</t>
        </is>
      </c>
      <c r="O94" s="5" t="inlineStr">
        <is>
          <t>strong</t>
        </is>
      </c>
      <c r="P94" s="5" t="inlineStr">
        <is>
          <t>high</t>
        </is>
      </c>
      <c r="Q94" s="5" t="inlineStr">
        <is>
          <t>가을·겨울 · 저녁</t>
        </is>
      </c>
      <c r="R94" s="5" t="inlineStr">
        <is>
          <t>꿀과 담배, 바닐라가 어우러진 달콤하고 진한 향</t>
        </is>
      </c>
      <c r="S94" s="5" t="inlineStr">
        <is>
          <t>시간이 지나도 달콤한 담배 향이 오래 남아요</t>
        </is>
      </c>
      <c r="T94" s="5" t="inlineStr">
        <is>
          <t>꿀의 달콤함이 부담스럽지 않은지 확인해 보세요</t>
        </is>
      </c>
      <c r="U94" s="6" t="n"/>
      <c r="V94" s="6" t="n"/>
      <c r="W94" s="6" t="n"/>
      <c r="X94" s="6" t="n"/>
      <c r="Y94" s="4" t="inlineStr">
        <is>
          <t>제르조프 백화점</t>
        </is>
      </c>
      <c r="Z94" s="6" t="inlineStr">
        <is>
          <t>백화점</t>
        </is>
      </c>
      <c r="AA94" s="6" t="n"/>
      <c r="AB94" s="6" t="n"/>
      <c r="AC94" s="4" t="inlineStr">
        <is>
          <t>AI 초안 (공식 확인 전)</t>
        </is>
      </c>
      <c r="AD94" s="4" t="inlineStr">
        <is>
          <t>노트·농도 공식 확인 / 국내 정가 / 이미지 / 시향 가능 채널</t>
        </is>
      </c>
      <c r="AE94" s="6" t="inlineStr">
        <is>
          <t>낮음 (앱에 표시 안 함)</t>
        </is>
      </c>
    </row>
    <row r="95">
      <c r="A95" s="4" t="inlineStr">
        <is>
          <t>escentric-molecules-molecule-01</t>
        </is>
      </c>
      <c r="B95" s="4" t="inlineStr">
        <is>
          <t>Escentric Molecules</t>
        </is>
      </c>
      <c r="C95" s="5" t="inlineStr">
        <is>
          <t>에센트릭 몰큘스</t>
        </is>
      </c>
      <c r="D95" s="4" t="inlineStr">
        <is>
          <t>Molecule 01</t>
        </is>
      </c>
      <c r="E95" s="5" t="inlineStr">
        <is>
          <t>몰큘 01</t>
        </is>
      </c>
      <c r="F95" s="5" t="inlineStr">
        <is>
          <t>EDT</t>
        </is>
      </c>
      <c r="G95" s="5" t="inlineStr">
        <is>
          <t>Iso E Super</t>
        </is>
      </c>
      <c r="H95" s="5" t="n"/>
      <c r="I95" s="5" t="n"/>
      <c r="J95" s="6" t="n"/>
      <c r="K95" s="5" t="inlineStr">
        <is>
          <t>woody</t>
        </is>
      </c>
      <c r="L95" s="5" t="inlineStr">
        <is>
          <t>musk</t>
        </is>
      </c>
      <c r="M95" s="5" t="inlineStr">
        <is>
          <t>clean, soft, calm</t>
        </is>
      </c>
      <c r="N95" s="5" t="n"/>
      <c r="O95" s="5" t="inlineStr">
        <is>
          <t>light</t>
        </is>
      </c>
      <c r="P95" s="5" t="inlineStr">
        <is>
          <t>low</t>
        </is>
      </c>
      <c r="Q95" s="5" t="inlineStr">
        <is>
          <t>사계절 · 데일리</t>
        </is>
      </c>
      <c r="R95" s="5" t="inlineStr">
        <is>
          <t>한 가지 성분만 쓴 투명하고 부드러운 나무 향</t>
        </is>
      </c>
      <c r="S95" s="5" t="inlineStr">
        <is>
          <t>피부에 은은하게 오래 남아요</t>
        </is>
      </c>
      <c r="T95" s="5" t="inlineStr">
        <is>
          <t>향이 약하니 손목에서 시간을 두고 맡아보세요</t>
        </is>
      </c>
      <c r="U95" s="6" t="n"/>
      <c r="V95" s="6" t="n"/>
      <c r="W95" s="6" t="n"/>
      <c r="X95" s="6" t="n"/>
      <c r="Y95" s="4" t="inlineStr">
        <is>
          <t>에센트릭 몰큘스 백화점</t>
        </is>
      </c>
      <c r="Z95" s="6" t="inlineStr">
        <is>
          <t>면세점</t>
        </is>
      </c>
      <c r="AA95" s="6" t="n"/>
      <c r="AB95" s="6" t="n"/>
      <c r="AC95" s="4" t="inlineStr">
        <is>
          <t>AI 초안 (공식 확인 전)</t>
        </is>
      </c>
      <c r="AD95" s="4" t="inlineStr">
        <is>
          <t>노트·농도 공식 확인 / 국내 정가 / 이미지 / 시향 가능 채널</t>
        </is>
      </c>
      <c r="AE95" s="6" t="inlineStr">
        <is>
          <t>낮음 (앱에 표시 안 함)</t>
        </is>
      </c>
    </row>
    <row r="96">
      <c r="A96" s="4" t="inlineStr">
        <is>
          <t>escentric-molecules-molecule-02</t>
        </is>
      </c>
      <c r="B96" s="4" t="inlineStr">
        <is>
          <t>Escentric Molecules</t>
        </is>
      </c>
      <c r="C96" s="5" t="inlineStr">
        <is>
          <t>에센트릭 몰큘스</t>
        </is>
      </c>
      <c r="D96" s="4" t="inlineStr">
        <is>
          <t>Molecule 02</t>
        </is>
      </c>
      <c r="E96" s="5" t="inlineStr">
        <is>
          <t>몰큘 02</t>
        </is>
      </c>
      <c r="F96" s="5" t="inlineStr">
        <is>
          <t>EDT</t>
        </is>
      </c>
      <c r="G96" s="5" t="inlineStr">
        <is>
          <t>Ambroxan</t>
        </is>
      </c>
      <c r="H96" s="5" t="n"/>
      <c r="I96" s="5" t="n"/>
      <c r="J96" s="6" t="n"/>
      <c r="K96" s="5" t="inlineStr">
        <is>
          <t>musk</t>
        </is>
      </c>
      <c r="L96" s="5" t="inlineStr">
        <is>
          <t>woody</t>
        </is>
      </c>
      <c r="M96" s="5" t="inlineStr">
        <is>
          <t>clean, soft, calm, cozy</t>
        </is>
      </c>
      <c r="N96" s="5" t="n"/>
      <c r="O96" s="5" t="inlineStr">
        <is>
          <t>light</t>
        </is>
      </c>
      <c r="P96" s="5" t="inlineStr">
        <is>
          <t>low</t>
        </is>
      </c>
      <c r="Q96" s="5" t="inlineStr">
        <is>
          <t>사계절 · 데일리</t>
        </is>
      </c>
      <c r="R96" s="5" t="inlineStr">
        <is>
          <t>한 가지 성분만 쓴 깨끗하고 따뜻한 피부 향</t>
        </is>
      </c>
      <c r="S96" s="5" t="inlineStr">
        <is>
          <t>피부에 은은하게 오래 남아요</t>
        </is>
      </c>
      <c r="T96" s="5" t="inlineStr">
        <is>
          <t>향이 약하니 손목에서 시간을 두고 맡아보세요</t>
        </is>
      </c>
      <c r="U96" s="6" t="n"/>
      <c r="V96" s="6" t="n"/>
      <c r="W96" s="6" t="n"/>
      <c r="X96" s="6" t="n"/>
      <c r="Y96" s="4" t="inlineStr">
        <is>
          <t>에센트릭 몰큘스 백화점</t>
        </is>
      </c>
      <c r="Z96" s="6" t="inlineStr">
        <is>
          <t>면세점</t>
        </is>
      </c>
      <c r="AA96" s="6" t="n"/>
      <c r="AB96" s="6" t="n"/>
      <c r="AC96" s="4" t="inlineStr">
        <is>
          <t>AI 초안 (공식 확인 전)</t>
        </is>
      </c>
      <c r="AD96" s="4" t="inlineStr">
        <is>
          <t>노트·농도 공식 확인 / 국내 정가 / 이미지 / 시향 가능 채널</t>
        </is>
      </c>
      <c r="AE96" s="6" t="inlineStr">
        <is>
          <t>낮음 (앱에 표시 안 함)</t>
        </is>
      </c>
    </row>
    <row r="97">
      <c r="A97" s="4" t="inlineStr">
        <is>
          <t>juliette-has-a-gun-not-a-perfume</t>
        </is>
      </c>
      <c r="B97" s="4" t="inlineStr">
        <is>
          <t>Juliette Has a Gun</t>
        </is>
      </c>
      <c r="C97" s="5" t="inlineStr">
        <is>
          <t>줄리엣 해즈 어 건</t>
        </is>
      </c>
      <c r="D97" s="4" t="inlineStr">
        <is>
          <t>Not a Perfume</t>
        </is>
      </c>
      <c r="E97" s="5" t="inlineStr">
        <is>
          <t>낫 어 퍼퓸</t>
        </is>
      </c>
      <c r="F97" s="5" t="inlineStr">
        <is>
          <t>EDP</t>
        </is>
      </c>
      <c r="G97" s="5" t="inlineStr">
        <is>
          <t>Cetalox</t>
        </is>
      </c>
      <c r="H97" s="5" t="n"/>
      <c r="I97" s="5" t="n"/>
      <c r="J97" s="6" t="n"/>
      <c r="K97" s="5" t="inlineStr">
        <is>
          <t>musk</t>
        </is>
      </c>
      <c r="L97" s="5" t="inlineStr">
        <is>
          <t>amber</t>
        </is>
      </c>
      <c r="M97" s="5" t="inlineStr">
        <is>
          <t>clean, soft, calm, cozy</t>
        </is>
      </c>
      <c r="N97" s="5" t="n"/>
      <c r="O97" s="5" t="inlineStr">
        <is>
          <t>light</t>
        </is>
      </c>
      <c r="P97" s="5" t="inlineStr">
        <is>
          <t>low</t>
        </is>
      </c>
      <c r="Q97" s="5" t="inlineStr">
        <is>
          <t>사계절 · 데일리</t>
        </is>
      </c>
      <c r="R97" s="5" t="inlineStr">
        <is>
          <t>한 가지 성분만 쓴 깨끗한 피부 같은 향</t>
        </is>
      </c>
      <c r="S97" s="5" t="inlineStr">
        <is>
          <t>피부에 은은하게 오래 남아요</t>
        </is>
      </c>
      <c r="T97" s="5" t="inlineStr">
        <is>
          <t>향이 약하니 손목에서 시간을 두고 맡아보세요</t>
        </is>
      </c>
      <c r="U97" s="6" t="n"/>
      <c r="V97" s="6" t="n"/>
      <c r="W97" s="6" t="n"/>
      <c r="X97" s="6" t="n"/>
      <c r="Y97" s="4" t="inlineStr">
        <is>
          <t>줄리엣 해즈 어 건 백화점</t>
        </is>
      </c>
      <c r="Z97" s="6" t="inlineStr">
        <is>
          <t>편집숍</t>
        </is>
      </c>
      <c r="AA97" s="6" t="n"/>
      <c r="AB97" s="6" t="n"/>
      <c r="AC97" s="4" t="inlineStr">
        <is>
          <t>AI 초안 (공식 확인 전)</t>
        </is>
      </c>
      <c r="AD97" s="4" t="inlineStr">
        <is>
          <t>노트·농도 공식 확인 / 국내 정가 / 이미지 / 시향 가능 채널</t>
        </is>
      </c>
      <c r="AE97" s="6" t="inlineStr">
        <is>
          <t>낮음 (앱에 표시 안 함)</t>
        </is>
      </c>
    </row>
    <row r="98">
      <c r="A98" s="4" t="inlineStr">
        <is>
          <t>ex-nihilo-fleur-narcotique</t>
        </is>
      </c>
      <c r="B98" s="4" t="inlineStr">
        <is>
          <t>Ex Nihilo</t>
        </is>
      </c>
      <c r="C98" s="5" t="inlineStr">
        <is>
          <t>엑스 니힐로</t>
        </is>
      </c>
      <c r="D98" s="4" t="inlineStr">
        <is>
          <t>Fleur Narcotique</t>
        </is>
      </c>
      <c r="E98" s="5" t="inlineStr">
        <is>
          <t>플뢰르 나르코티크</t>
        </is>
      </c>
      <c r="F98" s="5" t="inlineStr">
        <is>
          <t>EDP</t>
        </is>
      </c>
      <c r="G98" s="5" t="inlineStr">
        <is>
          <t>Lychee, Bergamot, Peach</t>
        </is>
      </c>
      <c r="H98" s="5" t="inlineStr">
        <is>
          <t>Peony, Jasmine</t>
        </is>
      </c>
      <c r="I98" s="5" t="inlineStr">
        <is>
          <t>Musk, Amber, Vanilla</t>
        </is>
      </c>
      <c r="J98" s="6" t="n"/>
      <c r="K98" s="5" t="inlineStr">
        <is>
          <t>floral</t>
        </is>
      </c>
      <c r="L98" s="5" t="inlineStr">
        <is>
          <t>fruity, whiteFloral</t>
        </is>
      </c>
      <c r="M98" s="5" t="inlineStr">
        <is>
          <t>lovely, sweet, elegant, soft</t>
        </is>
      </c>
      <c r="N98" s="5" t="n"/>
      <c r="O98" s="5" t="inlineStr">
        <is>
          <t>medium</t>
        </is>
      </c>
      <c r="P98" s="5" t="inlineStr">
        <is>
          <t>mid</t>
        </is>
      </c>
      <c r="Q98" s="5" t="inlineStr">
        <is>
          <t>봄·가을 · 데이트</t>
        </is>
      </c>
      <c r="R98" s="5" t="inlineStr">
        <is>
          <t>과즙 가득한 과일과 하얀 꽃이 어우러진 향</t>
        </is>
      </c>
      <c r="S98" s="5" t="inlineStr">
        <is>
          <t>시간이 지나면 부드러운 머스크와 앰버가 남아요</t>
        </is>
      </c>
      <c r="T98" s="5" t="inlineStr">
        <is>
          <t>과일 향이 꽃 향으로 이어지는 흐름을 맡아보세요</t>
        </is>
      </c>
      <c r="U98" s="6" t="n"/>
      <c r="V98" s="6" t="n"/>
      <c r="W98" s="6" t="n"/>
      <c r="X98" s="6" t="n"/>
      <c r="Y98" s="4" t="inlineStr">
        <is>
          <t>엑스 니힐로 백화점</t>
        </is>
      </c>
      <c r="Z98" s="6" t="inlineStr">
        <is>
          <t>면세점</t>
        </is>
      </c>
      <c r="AA98" s="6" t="n"/>
      <c r="AB98" s="6" t="n"/>
      <c r="AC98" s="4" t="inlineStr">
        <is>
          <t>AI 초안 (공식 확인 전)</t>
        </is>
      </c>
      <c r="AD98" s="4" t="inlineStr">
        <is>
          <t>노트·농도 공식 확인 / 국내 정가 / 이미지 / 시향 가능 채널</t>
        </is>
      </c>
      <c r="AE98" s="6" t="inlineStr">
        <is>
          <t>낮음 (앱에 표시 안 함)</t>
        </is>
      </c>
    </row>
    <row r="99">
      <c r="A99" s="4" t="inlineStr">
        <is>
          <t>parfums-de-marly-herod</t>
        </is>
      </c>
      <c r="B99" s="4" t="inlineStr">
        <is>
          <t>Parfums de Marly</t>
        </is>
      </c>
      <c r="C99" s="5" t="inlineStr">
        <is>
          <t>퍼퓸 드 말리</t>
        </is>
      </c>
      <c r="D99" s="4" t="inlineStr">
        <is>
          <t>Herod</t>
        </is>
      </c>
      <c r="E99" s="5" t="inlineStr">
        <is>
          <t>헤로드</t>
        </is>
      </c>
      <c r="F99" s="5" t="inlineStr">
        <is>
          <t>EDP</t>
        </is>
      </c>
      <c r="G99" s="5" t="inlineStr">
        <is>
          <t>Cinnamon, Pepper</t>
        </is>
      </c>
      <c r="H99" s="5" t="inlineStr">
        <is>
          <t>Tobacco Leaf, Vanilla</t>
        </is>
      </c>
      <c r="I99" s="5" t="inlineStr">
        <is>
          <t>Cedar, Musk, Labdanum</t>
        </is>
      </c>
      <c r="J99" s="6" t="n"/>
      <c r="K99" s="5" t="inlineStr">
        <is>
          <t>leather</t>
        </is>
      </c>
      <c r="L99" s="5" t="inlineStr">
        <is>
          <t>gourmand, spicy</t>
        </is>
      </c>
      <c r="M99" s="5" t="inlineStr">
        <is>
          <t>warm, cozy, deep, sensual</t>
        </is>
      </c>
      <c r="N99" s="5" t="inlineStr">
        <is>
          <t>tooSweet, spicy, smoky</t>
        </is>
      </c>
      <c r="O99" s="5" t="inlineStr">
        <is>
          <t>strong</t>
        </is>
      </c>
      <c r="P99" s="5" t="inlineStr">
        <is>
          <t>mid</t>
        </is>
      </c>
      <c r="Q99" s="5" t="inlineStr">
        <is>
          <t>가을·겨울 · 저녁</t>
        </is>
      </c>
      <c r="R99" s="5" t="inlineStr">
        <is>
          <t>계피와 담배, 바닐라가 어우러진 따뜻하고 달콤한 향</t>
        </is>
      </c>
      <c r="S99" s="5" t="inlineStr">
        <is>
          <t>시간이 지나도 달콤한 담배 향이 오래 남아요</t>
        </is>
      </c>
      <c r="T99" s="5" t="inlineStr">
        <is>
          <t>계피와 담배의 달콤함을 맡아보세요</t>
        </is>
      </c>
      <c r="U99" s="6" t="n"/>
      <c r="V99" s="6" t="n"/>
      <c r="W99" s="6" t="n"/>
      <c r="X99" s="6" t="n"/>
      <c r="Y99" s="4" t="inlineStr">
        <is>
          <t>퍼퓸 드 말리 백화점</t>
        </is>
      </c>
      <c r="Z99" s="6" t="inlineStr">
        <is>
          <t>[확인 필요]</t>
        </is>
      </c>
      <c r="AA99" s="6" t="n"/>
      <c r="AB99" s="6" t="n"/>
      <c r="AC99" s="4" t="inlineStr">
        <is>
          <t>AI 초안 (공식 확인 전)</t>
        </is>
      </c>
      <c r="AD99" s="4" t="inlineStr">
        <is>
          <t>노트·농도 공식 확인 / 국내 정가 / 이미지 / 시향 가능 채널</t>
        </is>
      </c>
      <c r="AE99" s="6" t="inlineStr">
        <is>
          <t>미확인</t>
        </is>
      </c>
    </row>
    <row r="100">
      <c r="A100" s="4" t="inlineStr">
        <is>
          <t>chanel-coromandel</t>
        </is>
      </c>
      <c r="B100" s="4" t="inlineStr">
        <is>
          <t>Chanel</t>
        </is>
      </c>
      <c r="C100" s="5" t="inlineStr">
        <is>
          <t>샤넬</t>
        </is>
      </c>
      <c r="D100" s="4" t="inlineStr">
        <is>
          <t>Coromandel (Les Exclusifs)</t>
        </is>
      </c>
      <c r="E100" s="5" t="inlineStr">
        <is>
          <t>코로만델 (레 젝스클루지프)</t>
        </is>
      </c>
      <c r="F100" s="5" t="inlineStr">
        <is>
          <t>EDP</t>
        </is>
      </c>
      <c r="G100" s="5" t="inlineStr">
        <is>
          <t>Orange, Bergamot</t>
        </is>
      </c>
      <c r="H100" s="5" t="inlineStr">
        <is>
          <t>Patchouli, Benzoin, Incense</t>
        </is>
      </c>
      <c r="I100" s="5" t="inlineStr">
        <is>
          <t>Vanilla, Chocolate, Amber</t>
        </is>
      </c>
      <c r="J100" s="6" t="n"/>
      <c r="K100" s="5" t="inlineStr">
        <is>
          <t>amber</t>
        </is>
      </c>
      <c r="L100" s="5" t="inlineStr">
        <is>
          <t>gourmand, woody</t>
        </is>
      </c>
      <c r="M100" s="5" t="inlineStr">
        <is>
          <t>warm, cozy, sweet, deep</t>
        </is>
      </c>
      <c r="N100" s="5" t="inlineStr">
        <is>
          <t>tooSweet, tooStrong</t>
        </is>
      </c>
      <c r="O100" s="5" t="inlineStr">
        <is>
          <t>strong</t>
        </is>
      </c>
      <c r="P100" s="5" t="inlineStr">
        <is>
          <t>mid</t>
        </is>
      </c>
      <c r="Q100" s="5" t="inlineStr">
        <is>
          <t>가을·겨울 · 저녁</t>
        </is>
      </c>
      <c r="R100" s="5" t="inlineStr">
        <is>
          <t>화이트 초콜릿과 패출리가 어우러진 따뜻하고 달콤한 향</t>
        </is>
      </c>
      <c r="S100" s="5" t="inlineStr">
        <is>
          <t>시간이 지나도 포근한 앰버와 바닐라가 오래 남아요</t>
        </is>
      </c>
      <c r="T100" s="5" t="inlineStr">
        <is>
          <t>달콤한 첫 향이 패출리로 이어지는지 맡아보세요</t>
        </is>
      </c>
      <c r="U100" s="6" t="n"/>
      <c r="V100" s="6" t="n"/>
      <c r="W100" s="6" t="n"/>
      <c r="X100" s="6" t="n"/>
      <c r="Y100" s="4" t="inlineStr">
        <is>
          <t>샤넬 뷰티 백화점</t>
        </is>
      </c>
      <c r="Z100" s="6" t="inlineStr">
        <is>
          <t>백화점</t>
        </is>
      </c>
      <c r="AA100" s="6" t="n"/>
      <c r="AB100" s="6" t="n"/>
      <c r="AC100" s="4" t="inlineStr">
        <is>
          <t>AI 초안 (공식 확인 전)</t>
        </is>
      </c>
      <c r="AD100" s="4" t="inlineStr">
        <is>
          <t>노트·농도 공식 확인 / 국내 정가 / 이미지 / 시향 가능 채널</t>
        </is>
      </c>
      <c r="AE100" s="6" t="inlineStr">
        <is>
          <t>보통 (앱에 표시)</t>
        </is>
      </c>
    </row>
    <row r="101">
      <c r="A101" s="4" t="inlineStr">
        <is>
          <t>versace-bright-crystal</t>
        </is>
      </c>
      <c r="B101" s="4" t="inlineStr">
        <is>
          <t>Versace</t>
        </is>
      </c>
      <c r="C101" s="5" t="inlineStr">
        <is>
          <t>베르사체</t>
        </is>
      </c>
      <c r="D101" s="4" t="inlineStr">
        <is>
          <t>Bright Crystal</t>
        </is>
      </c>
      <c r="E101" s="5" t="inlineStr">
        <is>
          <t>브라이트 크리스탈</t>
        </is>
      </c>
      <c r="F101" s="5" t="inlineStr">
        <is>
          <t>EDT</t>
        </is>
      </c>
      <c r="G101" s="5" t="inlineStr">
        <is>
          <t>Yuzu, Pomegranate</t>
        </is>
      </c>
      <c r="H101" s="5" t="inlineStr">
        <is>
          <t>Magnolia, Peony, Lotus</t>
        </is>
      </c>
      <c r="I101" s="5" t="inlineStr">
        <is>
          <t>Musk, Amber, Woody Notes</t>
        </is>
      </c>
      <c r="J101" s="6" t="n"/>
      <c r="K101" s="5" t="inlineStr">
        <is>
          <t>floral</t>
        </is>
      </c>
      <c r="L101" s="5" t="inlineStr">
        <is>
          <t>fruity, musk</t>
        </is>
      </c>
      <c r="M101" s="5" t="inlineStr">
        <is>
          <t>fresh, zesty, lovely, soft</t>
        </is>
      </c>
      <c r="N101" s="5" t="n"/>
      <c r="O101" s="5" t="inlineStr">
        <is>
          <t>light</t>
        </is>
      </c>
      <c r="P101" s="5" t="inlineStr">
        <is>
          <t>low</t>
        </is>
      </c>
      <c r="Q101" s="5" t="inlineStr">
        <is>
          <t>봄·여름 · 데일리</t>
        </is>
      </c>
      <c r="R101" s="5" t="inlineStr">
        <is>
          <t>유자와 석류의 상큼함 뒤로 맑은 꽃이 이어지는 가벼운 향</t>
        </is>
      </c>
      <c r="S101" s="5" t="inlineStr">
        <is>
          <t>시간이 지나면 부드러운 머스크가 가볍게 남아요</t>
        </is>
      </c>
      <c r="T101" s="5" t="inlineStr">
        <is>
          <t>상큼한 첫 향이 꽃 향으로 바뀌는지 맡아보세요</t>
        </is>
      </c>
      <c r="U101" s="6" t="n"/>
      <c r="V101" s="6" t="n"/>
      <c r="W101" s="6" t="n"/>
      <c r="X101" s="6" t="n"/>
      <c r="Y101" s="4" t="inlineStr">
        <is>
          <t>베르사체 향수 매장</t>
        </is>
      </c>
      <c r="Z101" s="6" t="inlineStr">
        <is>
          <t>올리브영</t>
        </is>
      </c>
      <c r="AA101" s="6" t="n"/>
      <c r="AB101" s="6" t="n"/>
      <c r="AC101" s="4" t="inlineStr">
        <is>
          <t>AI 초안 (공식 확인 전)</t>
        </is>
      </c>
      <c r="AD101" s="4" t="inlineStr">
        <is>
          <t>노트·농도 공식 확인 / 국내 정가 / 이미지 / 시향 가능 채널</t>
        </is>
      </c>
      <c r="AE101" s="6" t="inlineStr">
        <is>
          <t>보통 (앱에 표시)</t>
        </is>
      </c>
    </row>
    <row r="102">
      <c r="A102" s="4" t="inlineStr">
        <is>
          <t>versace-eros</t>
        </is>
      </c>
      <c r="B102" s="4" t="inlineStr">
        <is>
          <t>Versace</t>
        </is>
      </c>
      <c r="C102" s="5" t="inlineStr">
        <is>
          <t>베르사체</t>
        </is>
      </c>
      <c r="D102" s="4" t="inlineStr">
        <is>
          <t>Eros</t>
        </is>
      </c>
      <c r="E102" s="5" t="inlineStr">
        <is>
          <t>에로스</t>
        </is>
      </c>
      <c r="F102" s="5" t="inlineStr">
        <is>
          <t>EDT</t>
        </is>
      </c>
      <c r="G102" s="5" t="inlineStr">
        <is>
          <t>Mint, Apple, Lemon</t>
        </is>
      </c>
      <c r="H102" s="5" t="inlineStr">
        <is>
          <t>Tonka Bean, Geranium, Ambroxan</t>
        </is>
      </c>
      <c r="I102" s="5" t="inlineStr">
        <is>
          <t>Vanilla, Vetiver, Oakmoss, Cedar</t>
        </is>
      </c>
      <c r="J102" s="6" t="n"/>
      <c r="K102" s="5" t="inlineStr">
        <is>
          <t>aromatic</t>
        </is>
      </c>
      <c r="L102" s="5" t="inlineStr">
        <is>
          <t>gourmand, woody</t>
        </is>
      </c>
      <c r="M102" s="5" t="inlineStr">
        <is>
          <t>fresh, sweet, warm</t>
        </is>
      </c>
      <c r="N102" s="5" t="inlineStr">
        <is>
          <t>tooSweet</t>
        </is>
      </c>
      <c r="O102" s="5" t="inlineStr">
        <is>
          <t>strong</t>
        </is>
      </c>
      <c r="P102" s="5" t="inlineStr">
        <is>
          <t>mid</t>
        </is>
      </c>
      <c r="Q102" s="5" t="inlineStr">
        <is>
          <t>사계절 · 데이트</t>
        </is>
      </c>
      <c r="R102" s="5" t="inlineStr">
        <is>
          <t>민트와 사과의 시원함에 바닐라가 더해진 달콤하고 강한 향</t>
        </is>
      </c>
      <c r="S102" s="5" t="inlineStr">
        <is>
          <t>시간이 지나면 바닐라와 나무 향이 남아요</t>
        </is>
      </c>
      <c r="T102" s="5" t="inlineStr">
        <is>
          <t>시원한 첫 향 뒤에 바닐라가 얼마나 달게 오는지 확인해 보세요</t>
        </is>
      </c>
      <c r="U102" s="6" t="n"/>
      <c r="V102" s="6" t="n"/>
      <c r="W102" s="6" t="n"/>
      <c r="X102" s="6" t="n"/>
      <c r="Y102" s="4" t="inlineStr">
        <is>
          <t>베르사체 향수 매장</t>
        </is>
      </c>
      <c r="Z102" s="6" t="inlineStr">
        <is>
          <t>올리브영</t>
        </is>
      </c>
      <c r="AA102" s="6" t="n"/>
      <c r="AB102" s="6" t="n"/>
      <c r="AC102" s="4" t="inlineStr">
        <is>
          <t>AI 초안 (공식 확인 전)</t>
        </is>
      </c>
      <c r="AD102" s="4" t="inlineStr">
        <is>
          <t>노트·농도 공식 확인 / 국내 정가 / 이미지 / 시향 가능 채널</t>
        </is>
      </c>
      <c r="AE102" s="6" t="inlineStr">
        <is>
          <t>보통 (앱에 표시)</t>
        </is>
      </c>
    </row>
    <row r="103">
      <c r="A103" s="4" t="inlineStr">
        <is>
          <t>paco-rabanne-1-million</t>
        </is>
      </c>
      <c r="B103" s="4" t="inlineStr">
        <is>
          <t>Paco Rabanne</t>
        </is>
      </c>
      <c r="C103" s="5" t="inlineStr">
        <is>
          <t>파코 라반</t>
        </is>
      </c>
      <c r="D103" s="4" t="inlineStr">
        <is>
          <t>1 Million</t>
        </is>
      </c>
      <c r="E103" s="5" t="inlineStr">
        <is>
          <t>원 밀리언</t>
        </is>
      </c>
      <c r="F103" s="5" t="inlineStr">
        <is>
          <t>EDT</t>
        </is>
      </c>
      <c r="G103" s="5" t="inlineStr">
        <is>
          <t>Grapefruit, Mint, Orange</t>
        </is>
      </c>
      <c r="H103" s="5" t="inlineStr">
        <is>
          <t>Cinnamon, Rose, Spices</t>
        </is>
      </c>
      <c r="I103" s="5" t="inlineStr">
        <is>
          <t>Amber, Leather, Patchouli, Woody Notes</t>
        </is>
      </c>
      <c r="J103" s="6" t="n"/>
      <c r="K103" s="5" t="inlineStr">
        <is>
          <t>amber</t>
        </is>
      </c>
      <c r="L103" s="5" t="inlineStr">
        <is>
          <t>leather, spicy</t>
        </is>
      </c>
      <c r="M103" s="5" t="inlineStr">
        <is>
          <t>sweet, warm, sensual, deep</t>
        </is>
      </c>
      <c r="N103" s="5" t="inlineStr">
        <is>
          <t>tooSweet, tooStrong, spicy</t>
        </is>
      </c>
      <c r="O103" s="5" t="inlineStr">
        <is>
          <t>strong</t>
        </is>
      </c>
      <c r="P103" s="5" t="inlineStr">
        <is>
          <t>high</t>
        </is>
      </c>
      <c r="Q103" s="5" t="inlineStr">
        <is>
          <t>가을·겨울 · 저녁</t>
        </is>
      </c>
      <c r="R103" s="5" t="inlineStr">
        <is>
          <t>계피와 가죽, 앰버가 어우러진 강하고 달콤한 향</t>
        </is>
      </c>
      <c r="S103" s="5" t="inlineStr">
        <is>
          <t>시간이 지나도 달콤한 앰버와 가죽이 오래 남아요</t>
        </is>
      </c>
      <c r="T103" s="5" t="inlineStr">
        <is>
          <t>가죽과 계피의 달콤함이 부담스럽지 않은지 확인해 보세요</t>
        </is>
      </c>
      <c r="U103" s="6" t="n"/>
      <c r="V103" s="6" t="n"/>
      <c r="W103" s="6" t="n"/>
      <c r="X103" s="6" t="n"/>
      <c r="Y103" s="4" t="inlineStr">
        <is>
          <t>파코 라반 향수 매장</t>
        </is>
      </c>
      <c r="Z103" s="6" t="inlineStr">
        <is>
          <t>올리브영</t>
        </is>
      </c>
      <c r="AA103" s="6" t="n"/>
      <c r="AB103" s="6" t="n"/>
      <c r="AC103" s="4" t="inlineStr">
        <is>
          <t>AI 초안 (공식 확인 전)</t>
        </is>
      </c>
      <c r="AD103" s="4" t="inlineStr">
        <is>
          <t>노트·농도 공식 확인 / 국내 정가 / 이미지 / 시향 가능 채널</t>
        </is>
      </c>
      <c r="AE103" s="6" t="inlineStr">
        <is>
          <t>낮음 (앱에 표시 안 함)</t>
        </is>
      </c>
    </row>
    <row r="104">
      <c r="A104" s="4" t="inlineStr">
        <is>
          <t>paco-rabanne-lady-million</t>
        </is>
      </c>
      <c r="B104" s="4" t="inlineStr">
        <is>
          <t>Paco Rabanne</t>
        </is>
      </c>
      <c r="C104" s="5" t="inlineStr">
        <is>
          <t>파코 라반</t>
        </is>
      </c>
      <c r="D104" s="4" t="inlineStr">
        <is>
          <t>Lady Million</t>
        </is>
      </c>
      <c r="E104" s="5" t="inlineStr">
        <is>
          <t>레이디 밀리언</t>
        </is>
      </c>
      <c r="F104" s="5" t="inlineStr">
        <is>
          <t>EDP</t>
        </is>
      </c>
      <c r="G104" s="5" t="inlineStr">
        <is>
          <t>Raspberry, Orange Blossom, Neroli</t>
        </is>
      </c>
      <c r="H104" s="5" t="inlineStr">
        <is>
          <t>Jasmine, Honey, Gardenia</t>
        </is>
      </c>
      <c r="I104" s="5" t="inlineStr">
        <is>
          <t>Patchouli, Amber</t>
        </is>
      </c>
      <c r="J104" s="6" t="n"/>
      <c r="K104" s="5" t="inlineStr">
        <is>
          <t>gourmand</t>
        </is>
      </c>
      <c r="L104" s="5" t="inlineStr">
        <is>
          <t>whiteFloral, fruity</t>
        </is>
      </c>
      <c r="M104" s="5" t="inlineStr">
        <is>
          <t>sweet, lovely, elegant</t>
        </is>
      </c>
      <c r="N104" s="5" t="inlineStr">
        <is>
          <t>tooSweet</t>
        </is>
      </c>
      <c r="O104" s="5" t="inlineStr">
        <is>
          <t>medium</t>
        </is>
      </c>
      <c r="P104" s="5" t="inlineStr">
        <is>
          <t>mid</t>
        </is>
      </c>
      <c r="Q104" s="5" t="inlineStr">
        <is>
          <t>가을·겨울 · 저녁</t>
        </is>
      </c>
      <c r="R104" s="5" t="inlineStr">
        <is>
          <t>라즈베리와 꿀, 하얀 꽃이 어우러진 화려하고 달콤한 향</t>
        </is>
      </c>
      <c r="S104" s="5" t="inlineStr">
        <is>
          <t>시간이 지나면 달콤한 앰버와 패출리가 남아요</t>
        </is>
      </c>
      <c r="T104" s="5" t="inlineStr">
        <is>
          <t>첫 향의 베리와 꿀의 달콤함을 확인해 보세요</t>
        </is>
      </c>
      <c r="U104" s="6" t="n"/>
      <c r="V104" s="6" t="n"/>
      <c r="W104" s="6" t="n"/>
      <c r="X104" s="6" t="n"/>
      <c r="Y104" s="4" t="inlineStr">
        <is>
          <t>파코 라반 향수 매장</t>
        </is>
      </c>
      <c r="Z104" s="6" t="inlineStr">
        <is>
          <t>올리브영</t>
        </is>
      </c>
      <c r="AA104" s="6" t="n"/>
      <c r="AB104" s="6" t="n"/>
      <c r="AC104" s="4" t="inlineStr">
        <is>
          <t>AI 초안 (공식 확인 전)</t>
        </is>
      </c>
      <c r="AD104" s="4" t="inlineStr">
        <is>
          <t>노트·농도 공식 확인 / 국내 정가 / 이미지 / 시향 가능 채널</t>
        </is>
      </c>
      <c r="AE104" s="6" t="inlineStr">
        <is>
          <t>낮음 (앱에 표시 안 함)</t>
        </is>
      </c>
    </row>
    <row r="105">
      <c r="A105" s="4" t="inlineStr">
        <is>
          <t>hugo-boss-bottled</t>
        </is>
      </c>
      <c r="B105" s="4" t="inlineStr">
        <is>
          <t>Hugo Boss</t>
        </is>
      </c>
      <c r="C105" s="5" t="inlineStr">
        <is>
          <t>휴고 보스</t>
        </is>
      </c>
      <c r="D105" s="4" t="inlineStr">
        <is>
          <t>Boss Bottled</t>
        </is>
      </c>
      <c r="E105" s="5" t="inlineStr">
        <is>
          <t>보스 보틀드</t>
        </is>
      </c>
      <c r="F105" s="5" t="inlineStr">
        <is>
          <t>EDT</t>
        </is>
      </c>
      <c r="G105" s="5" t="inlineStr">
        <is>
          <t>Apple, Bergamot, Lemon</t>
        </is>
      </c>
      <c r="H105" s="5" t="inlineStr">
        <is>
          <t>Cinnamon, Geranium, Woody Notes</t>
        </is>
      </c>
      <c r="I105" s="5" t="inlineStr">
        <is>
          <t>Vanilla, Sandalwood, Vetiver, Cedar</t>
        </is>
      </c>
      <c r="J105" s="6" t="n"/>
      <c r="K105" s="5" t="inlineStr">
        <is>
          <t>woody</t>
        </is>
      </c>
      <c r="L105" s="5" t="inlineStr">
        <is>
          <t>aromatic, spicy</t>
        </is>
      </c>
      <c r="M105" s="5" t="inlineStr">
        <is>
          <t>fresh, warm, calm</t>
        </is>
      </c>
      <c r="N105" s="5" t="inlineStr">
        <is>
          <t>spicy</t>
        </is>
      </c>
      <c r="O105" s="5" t="inlineStr">
        <is>
          <t>medium</t>
        </is>
      </c>
      <c r="P105" s="5" t="inlineStr">
        <is>
          <t>mid</t>
        </is>
      </c>
      <c r="Q105" s="5" t="inlineStr">
        <is>
          <t>사계절 · 출근</t>
        </is>
      </c>
      <c r="R105" s="5" t="inlineStr">
        <is>
          <t>사과와 계피가 우디한 향으로 이어지는 단정한 클래식 향</t>
        </is>
      </c>
      <c r="S105" s="5" t="inlineStr">
        <is>
          <t>시간이 지나면 부드러운 바닐라와 나무 향이 남아요</t>
        </is>
      </c>
      <c r="T105" s="5" t="inlineStr">
        <is>
          <t>사과 향이 우디하게 바뀌는 흐름을 맡아보세요</t>
        </is>
      </c>
      <c r="U105" s="6" t="n"/>
      <c r="V105" s="6" t="n"/>
      <c r="W105" s="6" t="n"/>
      <c r="X105" s="6" t="n"/>
      <c r="Y105" s="4" t="inlineStr">
        <is>
          <t>휴고 보스 향수 매장</t>
        </is>
      </c>
      <c r="Z105" s="6" t="inlineStr">
        <is>
          <t>백화점</t>
        </is>
      </c>
      <c r="AA105" s="6" t="n"/>
      <c r="AB105" s="6" t="n"/>
      <c r="AC105" s="4" t="inlineStr">
        <is>
          <t>AI 초안 (공식 확인 전)</t>
        </is>
      </c>
      <c r="AD105" s="4" t="inlineStr">
        <is>
          <t>노트·농도 공식 확인 / 국내 정가 / 이미지 / 시향 가능 채널</t>
        </is>
      </c>
      <c r="AE105" s="6" t="inlineStr">
        <is>
          <t>낮음 (앱에 표시 안 함)</t>
        </is>
      </c>
    </row>
    <row r="106">
      <c r="A106" s="4" t="inlineStr">
        <is>
          <t>calvin-klein-eternity</t>
        </is>
      </c>
      <c r="B106" s="4" t="inlineStr">
        <is>
          <t>Calvin Klein</t>
        </is>
      </c>
      <c r="C106" s="5" t="inlineStr">
        <is>
          <t>캘빈 클라인</t>
        </is>
      </c>
      <c r="D106" s="4" t="inlineStr">
        <is>
          <t>Eternity</t>
        </is>
      </c>
      <c r="E106" s="5" t="inlineStr">
        <is>
          <t>이터니티</t>
        </is>
      </c>
      <c r="F106" s="5" t="inlineStr">
        <is>
          <t>EDP</t>
        </is>
      </c>
      <c r="G106" s="5" t="inlineStr">
        <is>
          <t>Mandarin, Freesia, Sage</t>
        </is>
      </c>
      <c r="H106" s="5" t="inlineStr">
        <is>
          <t>Lily of the Valley, Jasmine, Rose</t>
        </is>
      </c>
      <c r="I106" s="5" t="inlineStr">
        <is>
          <t>Sandalwood, Musk, Amber</t>
        </is>
      </c>
      <c r="J106" s="6" t="n"/>
      <c r="K106" s="5" t="inlineStr">
        <is>
          <t>floral</t>
        </is>
      </c>
      <c r="L106" s="5" t="inlineStr">
        <is>
          <t>musk</t>
        </is>
      </c>
      <c r="M106" s="5" t="inlineStr">
        <is>
          <t>clean, soft, lovely, elegant</t>
        </is>
      </c>
      <c r="N106" s="5" t="n"/>
      <c r="O106" s="5" t="inlineStr">
        <is>
          <t>light</t>
        </is>
      </c>
      <c r="P106" s="5" t="inlineStr">
        <is>
          <t>low</t>
        </is>
      </c>
      <c r="Q106" s="5" t="inlineStr">
        <is>
          <t>봄 · 데일리</t>
        </is>
      </c>
      <c r="R106" s="5" t="inlineStr">
        <is>
          <t>맑은 흰 꽃을 부드러운 머스크가 감싸는 깨끗한 향</t>
        </is>
      </c>
      <c r="S106" s="5" t="inlineStr">
        <is>
          <t>시간이 지나면 부드러운 머스크와 샌달우드가 남아요</t>
        </is>
      </c>
      <c r="T106" s="5" t="inlineStr">
        <is>
          <t>꽃 향이 은은하게 퍼지는지 확인해 보세요</t>
        </is>
      </c>
      <c r="U106" s="6" t="n"/>
      <c r="V106" s="6" t="n"/>
      <c r="W106" s="6" t="n"/>
      <c r="X106" s="6" t="n"/>
      <c r="Y106" s="4" t="inlineStr">
        <is>
          <t>캘빈클라인 향수 매장</t>
        </is>
      </c>
      <c r="Z106" s="6" t="inlineStr">
        <is>
          <t>[확인 필요]</t>
        </is>
      </c>
      <c r="AA106" s="6" t="n"/>
      <c r="AB106" s="6" t="n"/>
      <c r="AC106" s="4" t="inlineStr">
        <is>
          <t>AI 초안 (공식 확인 전)</t>
        </is>
      </c>
      <c r="AD106" s="4" t="inlineStr">
        <is>
          <t>노트·농도 공식 확인 / 국내 정가 / 이미지 / 시향 가능 채널</t>
        </is>
      </c>
      <c r="AE106" s="6" t="inlineStr">
        <is>
          <t>미확인</t>
        </is>
      </c>
    </row>
    <row r="107">
      <c r="A107" s="4" t="inlineStr">
        <is>
          <t>carolina-herrera-good-girl</t>
        </is>
      </c>
      <c r="B107" s="4" t="inlineStr">
        <is>
          <t>Carolina Herrera</t>
        </is>
      </c>
      <c r="C107" s="5" t="inlineStr">
        <is>
          <t>캐롤리나 헤레라</t>
        </is>
      </c>
      <c r="D107" s="4" t="inlineStr">
        <is>
          <t>Good Girl</t>
        </is>
      </c>
      <c r="E107" s="5" t="inlineStr">
        <is>
          <t>굿 걸</t>
        </is>
      </c>
      <c r="F107" s="5" t="inlineStr">
        <is>
          <t>EDP</t>
        </is>
      </c>
      <c r="G107" s="5" t="inlineStr">
        <is>
          <t>Almond, Coffee, Bergamot</t>
        </is>
      </c>
      <c r="H107" s="5" t="inlineStr">
        <is>
          <t>Tuberose, Jasmine, Orange Blossom</t>
        </is>
      </c>
      <c r="I107" s="5" t="inlineStr">
        <is>
          <t>Tonka Bean, Cacao, Vanilla, Sandalwood</t>
        </is>
      </c>
      <c r="J107" s="6" t="n"/>
      <c r="K107" s="5" t="inlineStr">
        <is>
          <t>gourmand</t>
        </is>
      </c>
      <c r="L107" s="5" t="inlineStr">
        <is>
          <t>whiteFloral</t>
        </is>
      </c>
      <c r="M107" s="5" t="inlineStr">
        <is>
          <t>sweet, sensual, elegant, warm</t>
        </is>
      </c>
      <c r="N107" s="5" t="inlineStr">
        <is>
          <t>tooSweet, tooStrong</t>
        </is>
      </c>
      <c r="O107" s="5" t="inlineStr">
        <is>
          <t>strong</t>
        </is>
      </c>
      <c r="P107" s="5" t="inlineStr">
        <is>
          <t>high</t>
        </is>
      </c>
      <c r="Q107" s="5" t="inlineStr">
        <is>
          <t>가을·겨울 · 저녁</t>
        </is>
      </c>
      <c r="R107" s="5" t="inlineStr">
        <is>
          <t>하얀 꽃과 카카오가 어우러진 진하고 달콤한 향</t>
        </is>
      </c>
      <c r="S107" s="5" t="inlineStr">
        <is>
          <t>시간이 지나도 달콤한 통카빈과 카카오가 오래 남아요</t>
        </is>
      </c>
      <c r="T107" s="5" t="inlineStr">
        <is>
          <t>꽃과 달콤함의 진한 정도를 확인해 보세요</t>
        </is>
      </c>
      <c r="U107" s="6" t="n"/>
      <c r="V107" s="6" t="n"/>
      <c r="W107" s="6" t="n"/>
      <c r="X107" s="6" t="n"/>
      <c r="Y107" s="4" t="inlineStr">
        <is>
          <t>캐롤리나 헤레라 향수 매장</t>
        </is>
      </c>
      <c r="Z107" s="6" t="inlineStr">
        <is>
          <t>백화점</t>
        </is>
      </c>
      <c r="AA107" s="6" t="n"/>
      <c r="AB107" s="6" t="n"/>
      <c r="AC107" s="4" t="inlineStr">
        <is>
          <t>AI 초안 (공식 확인 전)</t>
        </is>
      </c>
      <c r="AD107" s="4" t="inlineStr">
        <is>
          <t>노트·농도 공식 확인 / 국내 정가 / 이미지 / 시향 가능 채널</t>
        </is>
      </c>
      <c r="AE107" s="6" t="inlineStr">
        <is>
          <t>낮음 (앱에 표시 안 함)</t>
        </is>
      </c>
    </row>
    <row r="108">
      <c r="A108" s="4" t="inlineStr">
        <is>
          <t>ysl-y-edp</t>
        </is>
      </c>
      <c r="B108" s="4" t="inlineStr">
        <is>
          <t>Yves Saint Laurent</t>
        </is>
      </c>
      <c r="C108" s="5" t="inlineStr">
        <is>
          <t>입생로랑</t>
        </is>
      </c>
      <c r="D108" s="4" t="inlineStr">
        <is>
          <t>Y Eau de Parfum</t>
        </is>
      </c>
      <c r="E108" s="5" t="inlineStr">
        <is>
          <t>와이 오 드 퍼퓸</t>
        </is>
      </c>
      <c r="F108" s="5" t="inlineStr">
        <is>
          <t>EDP</t>
        </is>
      </c>
      <c r="G108" s="5" t="inlineStr">
        <is>
          <t>Apple, Ginger, Bergamot</t>
        </is>
      </c>
      <c r="H108" s="5" t="inlineStr">
        <is>
          <t>Sage, Juniper Berries, Geranium</t>
        </is>
      </c>
      <c r="I108" s="5" t="inlineStr">
        <is>
          <t>Ambroxan, Tonka Bean, Cedar, Vetiver</t>
        </is>
      </c>
      <c r="J108" s="6" t="n"/>
      <c r="K108" s="5" t="inlineStr">
        <is>
          <t>aromatic</t>
        </is>
      </c>
      <c r="L108" s="5" t="inlineStr">
        <is>
          <t>woody, citrus</t>
        </is>
      </c>
      <c r="M108" s="5" t="inlineStr">
        <is>
          <t>fresh, cool, calm</t>
        </is>
      </c>
      <c r="N108" s="5" t="n"/>
      <c r="O108" s="5" t="inlineStr">
        <is>
          <t>medium</t>
        </is>
      </c>
      <c r="P108" s="5" t="inlineStr">
        <is>
          <t>low</t>
        </is>
      </c>
      <c r="Q108" s="5" t="inlineStr">
        <is>
          <t>사계절 · 출근</t>
        </is>
      </c>
      <c r="R108" s="5" t="inlineStr">
        <is>
          <t>사과와 생강의 상쾌함이 깔끔한 나무 향으로 이어지는 향</t>
        </is>
      </c>
      <c r="S108" s="5" t="inlineStr">
        <is>
          <t>몇 시간 뒤엔 깨끗한 앰브록산과 나무 향이 남아요</t>
        </is>
      </c>
      <c r="T108" s="5" t="inlineStr">
        <is>
          <t>상쾌한 첫 향이 깔끔하게 정리되는지 맡아보세요</t>
        </is>
      </c>
      <c r="U108" s="6" t="n"/>
      <c r="V108" s="6" t="n"/>
      <c r="W108" s="6" t="n"/>
      <c r="X108" s="6" t="n"/>
      <c r="Y108" s="4" t="inlineStr">
        <is>
          <t>입생로랑 뷰티 백화점</t>
        </is>
      </c>
      <c r="Z108" s="6" t="inlineStr">
        <is>
          <t>백화점</t>
        </is>
      </c>
      <c r="AA108" s="6" t="n"/>
      <c r="AB108" s="6" t="n"/>
      <c r="AC108" s="4" t="inlineStr">
        <is>
          <t>AI 초안 (공식 확인 전)</t>
        </is>
      </c>
      <c r="AD108" s="4" t="inlineStr">
        <is>
          <t>노트·농도 공식 확인 / 국내 정가 / 이미지 / 시향 가능 채널</t>
        </is>
      </c>
      <c r="AE108" s="6" t="inlineStr">
        <is>
          <t>보통 (앱에 표시)</t>
        </is>
      </c>
    </row>
    <row r="109">
      <c r="A109" s="4" t="inlineStr">
        <is>
          <t>lancome-idole</t>
        </is>
      </c>
      <c r="B109" s="4" t="inlineStr">
        <is>
          <t>Lancôme</t>
        </is>
      </c>
      <c r="C109" s="5" t="inlineStr">
        <is>
          <t>랑콤</t>
        </is>
      </c>
      <c r="D109" s="4" t="inlineStr">
        <is>
          <t>Idôle</t>
        </is>
      </c>
      <c r="E109" s="5" t="inlineStr">
        <is>
          <t>이돌</t>
        </is>
      </c>
      <c r="F109" s="5" t="inlineStr">
        <is>
          <t>EDP</t>
        </is>
      </c>
      <c r="G109" s="5" t="inlineStr">
        <is>
          <t>Pear, Bergamot, Pink Pepper</t>
        </is>
      </c>
      <c r="H109" s="5" t="inlineStr">
        <is>
          <t>Jasmine, Rose</t>
        </is>
      </c>
      <c r="I109" s="5" t="inlineStr">
        <is>
          <t>Vanilla, Musk, Cedar</t>
        </is>
      </c>
      <c r="J109" s="6" t="n"/>
      <c r="K109" s="5" t="inlineStr">
        <is>
          <t>floral</t>
        </is>
      </c>
      <c r="L109" s="5" t="inlineStr">
        <is>
          <t>musk, fruity</t>
        </is>
      </c>
      <c r="M109" s="5" t="inlineStr">
        <is>
          <t>lovely, soft, clean, elegant</t>
        </is>
      </c>
      <c r="N109" s="5" t="n"/>
      <c r="O109" s="5" t="inlineStr">
        <is>
          <t>medium</t>
        </is>
      </c>
      <c r="P109" s="5" t="inlineStr">
        <is>
          <t>low</t>
        </is>
      </c>
      <c r="Q109" s="5" t="inlineStr">
        <is>
          <t>봄·가을 · 데일리</t>
        </is>
      </c>
      <c r="R109" s="5" t="inlineStr">
        <is>
          <t>배와 장미, 깨끗한 머스크가 어우러진 산뜻한 꽃 향</t>
        </is>
      </c>
      <c r="S109" s="5" t="inlineStr">
        <is>
          <t>시간이 지나면 부드러운 머스크와 바닐라가 남아요</t>
        </is>
      </c>
      <c r="T109" s="5" t="inlineStr">
        <is>
          <t>배와 장미의 균형을 손목에서 확인해 보세요</t>
        </is>
      </c>
      <c r="U109" s="6" t="n"/>
      <c r="V109" s="6" t="n"/>
      <c r="W109" s="6" t="n"/>
      <c r="X109" s="6" t="n"/>
      <c r="Y109" s="4" t="inlineStr">
        <is>
          <t>랑콤 뷰티 백화점</t>
        </is>
      </c>
      <c r="Z109" s="6" t="inlineStr">
        <is>
          <t>백화점</t>
        </is>
      </c>
      <c r="AA109" s="6" t="n"/>
      <c r="AB109" s="6" t="n"/>
      <c r="AC109" s="4" t="inlineStr">
        <is>
          <t>AI 초안 (공식 확인 전)</t>
        </is>
      </c>
      <c r="AD109" s="4" t="inlineStr">
        <is>
          <t>노트·농도 공식 확인 / 국내 정가 / 이미지 / 시향 가능 채널</t>
        </is>
      </c>
      <c r="AE109" s="6" t="inlineStr">
        <is>
          <t>보통 (앱에 표시)</t>
        </is>
      </c>
    </row>
    <row r="110">
      <c r="A110" s="4" t="inlineStr">
        <is>
          <t>montblanc-explorer</t>
        </is>
      </c>
      <c r="B110" s="4" t="inlineStr">
        <is>
          <t>Montblanc</t>
        </is>
      </c>
      <c r="C110" s="5" t="inlineStr">
        <is>
          <t>몽블랑</t>
        </is>
      </c>
      <c r="D110" s="4" t="inlineStr">
        <is>
          <t>Explorer</t>
        </is>
      </c>
      <c r="E110" s="5" t="inlineStr">
        <is>
          <t>익스플로러</t>
        </is>
      </c>
      <c r="F110" s="5" t="inlineStr">
        <is>
          <t>EDP</t>
        </is>
      </c>
      <c r="G110" s="5" t="inlineStr">
        <is>
          <t>Bergamot, Pink Pepper, Clary Sage</t>
        </is>
      </c>
      <c r="H110" s="5" t="inlineStr">
        <is>
          <t>Vetiver, Patchouli, Leather</t>
        </is>
      </c>
      <c r="I110" s="5" t="inlineStr">
        <is>
          <t>Ambroxan, Cashmeran</t>
        </is>
      </c>
      <c r="J110" s="6" t="n"/>
      <c r="K110" s="5" t="inlineStr">
        <is>
          <t>woody</t>
        </is>
      </c>
      <c r="L110" s="5" t="inlineStr">
        <is>
          <t>aromatic, leather</t>
        </is>
      </c>
      <c r="M110" s="5" t="inlineStr">
        <is>
          <t>fresh, warm, deep</t>
        </is>
      </c>
      <c r="N110" s="5" t="n"/>
      <c r="O110" s="5" t="inlineStr">
        <is>
          <t>medium</t>
        </is>
      </c>
      <c r="P110" s="5" t="inlineStr">
        <is>
          <t>mid</t>
        </is>
      </c>
      <c r="Q110" s="5" t="inlineStr">
        <is>
          <t>사계절 · 출근</t>
        </is>
      </c>
      <c r="R110" s="5" t="inlineStr">
        <is>
          <t>시트러스로 시작해 가죽과 우디로 이어지는 차분한 향</t>
        </is>
      </c>
      <c r="S110" s="5" t="inlineStr">
        <is>
          <t>시간이 지나면 깨끗한 앰브록산과 나무 향이 남아요</t>
        </is>
      </c>
      <c r="T110" s="5" t="inlineStr">
        <is>
          <t>가죽 느낌이 부담스럽지 않은지 확인해 보세요</t>
        </is>
      </c>
      <c r="U110" s="6" t="n"/>
      <c r="V110" s="6" t="n"/>
      <c r="W110" s="6" t="n"/>
      <c r="X110" s="6" t="n"/>
      <c r="Y110" s="4" t="inlineStr">
        <is>
          <t>몽블랑 향수 매장</t>
        </is>
      </c>
      <c r="Z110" s="6" t="inlineStr">
        <is>
          <t>올리브영</t>
        </is>
      </c>
      <c r="AA110" s="6" t="n"/>
      <c r="AB110" s="6" t="n"/>
      <c r="AC110" s="4" t="inlineStr">
        <is>
          <t>AI 초안 (공식 확인 전)</t>
        </is>
      </c>
      <c r="AD110" s="4" t="inlineStr">
        <is>
          <t>노트·농도 공식 확인 / 국내 정가 / 이미지 / 시향 가능 채널</t>
        </is>
      </c>
      <c r="AE110" s="6" t="inlineStr">
        <is>
          <t>보통 (앱에 표시)</t>
        </is>
      </c>
    </row>
    <row r="111">
      <c r="A111" s="4" t="inlineStr">
        <is>
          <t>armani-my-way</t>
        </is>
      </c>
      <c r="B111" s="4" t="inlineStr">
        <is>
          <t>Giorgio Armani</t>
        </is>
      </c>
      <c r="C111" s="5" t="inlineStr">
        <is>
          <t>조르지오 아르마니</t>
        </is>
      </c>
      <c r="D111" s="4" t="inlineStr">
        <is>
          <t>My Way</t>
        </is>
      </c>
      <c r="E111" s="5" t="inlineStr">
        <is>
          <t>마이 웨이</t>
        </is>
      </c>
      <c r="F111" s="5" t="inlineStr">
        <is>
          <t>EDP</t>
        </is>
      </c>
      <c r="G111" s="5" t="inlineStr">
        <is>
          <t>Bergamot, Orange Blossom</t>
        </is>
      </c>
      <c r="H111" s="5" t="inlineStr">
        <is>
          <t>Tuberose, Jasmine</t>
        </is>
      </c>
      <c r="I111" s="5" t="inlineStr">
        <is>
          <t>White Musk, Cedar, Vanilla</t>
        </is>
      </c>
      <c r="J111" s="6" t="n"/>
      <c r="K111" s="5" t="inlineStr">
        <is>
          <t>whiteFloral</t>
        </is>
      </c>
      <c r="L111" s="5" t="inlineStr">
        <is>
          <t>musk</t>
        </is>
      </c>
      <c r="M111" s="5" t="inlineStr">
        <is>
          <t>elegant, clean, soft, lovely</t>
        </is>
      </c>
      <c r="N111" s="5" t="n"/>
      <c r="O111" s="5" t="inlineStr">
        <is>
          <t>medium</t>
        </is>
      </c>
      <c r="P111" s="5" t="inlineStr">
        <is>
          <t>low</t>
        </is>
      </c>
      <c r="Q111" s="5" t="inlineStr">
        <is>
          <t>봄·가을 · 데이트</t>
        </is>
      </c>
      <c r="R111" s="5" t="inlineStr">
        <is>
          <t>하얀 꽃과 머스크가 부드럽게 어우러진 깨끗한 꽃 향</t>
        </is>
      </c>
      <c r="S111" s="5" t="inlineStr">
        <is>
          <t>시간이 지나면 보송한 화이트 머스크가 남아요</t>
        </is>
      </c>
      <c r="T111" s="5" t="inlineStr">
        <is>
          <t>꽃 향이 진하지 않고 깨끗한지 확인해 보세요</t>
        </is>
      </c>
      <c r="U111" s="6" t="n"/>
      <c r="V111" s="6" t="n"/>
      <c r="W111" s="6" t="n"/>
      <c r="X111" s="6" t="n"/>
      <c r="Y111" s="4" t="inlineStr">
        <is>
          <t>조르지오 아르마니 뷰티 백화점</t>
        </is>
      </c>
      <c r="Z111" s="6" t="inlineStr">
        <is>
          <t>면세점</t>
        </is>
      </c>
      <c r="AA111" s="6" t="n"/>
      <c r="AB111" s="6" t="n"/>
      <c r="AC111" s="4" t="inlineStr">
        <is>
          <t>AI 초안 (공식 확인 전)</t>
        </is>
      </c>
      <c r="AD111" s="4" t="inlineStr">
        <is>
          <t>노트·농도 공식 확인 / 국내 정가 / 이미지 / 시향 가능 채널</t>
        </is>
      </c>
      <c r="AE111" s="6" t="inlineStr">
        <is>
          <t>낮음 (앱에 표시 안 함)</t>
        </is>
      </c>
    </row>
    <row r="112">
      <c r="A112" s="4" t="inlineStr">
        <is>
          <t>bvlgari-omnia-crystalline</t>
        </is>
      </c>
      <c r="B112" s="4" t="inlineStr">
        <is>
          <t>Bvlgari</t>
        </is>
      </c>
      <c r="C112" s="5" t="inlineStr">
        <is>
          <t>불가리</t>
        </is>
      </c>
      <c r="D112" s="4" t="inlineStr">
        <is>
          <t>Omnia Crystalline</t>
        </is>
      </c>
      <c r="E112" s="5" t="inlineStr">
        <is>
          <t>옴니아 크리스탈린</t>
        </is>
      </c>
      <c r="F112" s="5" t="inlineStr">
        <is>
          <t>EDT</t>
        </is>
      </c>
      <c r="G112" s="5" t="inlineStr">
        <is>
          <t>Bamboo, Pear</t>
        </is>
      </c>
      <c r="H112" s="5" t="inlineStr">
        <is>
          <t>Lotus</t>
        </is>
      </c>
      <c r="I112" s="5" t="inlineStr">
        <is>
          <t>Woody Notes, Musk</t>
        </is>
      </c>
      <c r="J112" s="6" t="n"/>
      <c r="K112" s="5" t="inlineStr">
        <is>
          <t>aqua</t>
        </is>
      </c>
      <c r="L112" s="5" t="inlineStr">
        <is>
          <t>green, musk</t>
        </is>
      </c>
      <c r="M112" s="5" t="inlineStr">
        <is>
          <t>clean, cool, soft</t>
        </is>
      </c>
      <c r="N112" s="5" t="n"/>
      <c r="O112" s="5" t="inlineStr">
        <is>
          <t>light</t>
        </is>
      </c>
      <c r="P112" s="5" t="inlineStr">
        <is>
          <t>low</t>
        </is>
      </c>
      <c r="Q112" s="5" t="inlineStr">
        <is>
          <t>봄·여름 · 데일리</t>
        </is>
      </c>
      <c r="R112" s="5" t="inlineStr">
        <is>
          <t>대나무와 연꽃처럼 맑고 투명한 물빛 향</t>
        </is>
      </c>
      <c r="S112" s="5" t="inlineStr">
        <is>
          <t>시간이 지나면 가벼운 머스크와 나무 향이 남아요</t>
        </is>
      </c>
      <c r="T112" s="5" t="inlineStr">
        <is>
          <t>투명한 첫 향이 얼마나 오래가는지 맡아보세요</t>
        </is>
      </c>
      <c r="U112" s="6" t="n"/>
      <c r="V112" s="6" t="n"/>
      <c r="W112" s="6" t="n"/>
      <c r="X112" s="6" t="n"/>
      <c r="Y112" s="4" t="inlineStr">
        <is>
          <t>불가리 향수 매장</t>
        </is>
      </c>
      <c r="Z112" s="6" t="inlineStr">
        <is>
          <t>백화점</t>
        </is>
      </c>
      <c r="AA112" s="6" t="n"/>
      <c r="AB112" s="6" t="n"/>
      <c r="AC112" s="4" t="inlineStr">
        <is>
          <t>AI 초안 (공식 확인 전)</t>
        </is>
      </c>
      <c r="AD112" s="4" t="inlineStr">
        <is>
          <t>노트·농도 공식 확인 / 국내 정가 / 이미지 / 시향 가능 채널</t>
        </is>
      </c>
      <c r="AE112" s="6" t="inlineStr">
        <is>
          <t>보통 (앱에 표시)</t>
        </is>
      </c>
    </row>
    <row r="113">
      <c r="A113" s="4" t="inlineStr">
        <is>
          <t>ysl-mon-paris</t>
        </is>
      </c>
      <c r="B113" s="4" t="inlineStr">
        <is>
          <t>Yves Saint Laurent</t>
        </is>
      </c>
      <c r="C113" s="5" t="inlineStr">
        <is>
          <t>입생로랑</t>
        </is>
      </c>
      <c r="D113" s="4" t="inlineStr">
        <is>
          <t>Mon Paris</t>
        </is>
      </c>
      <c r="E113" s="5" t="inlineStr">
        <is>
          <t>몽 파리</t>
        </is>
      </c>
      <c r="F113" s="5" t="inlineStr">
        <is>
          <t>EDP</t>
        </is>
      </c>
      <c r="G113" s="5" t="inlineStr">
        <is>
          <t>Strawberry, Raspberry, Pear</t>
        </is>
      </c>
      <c r="H113" s="5" t="inlineStr">
        <is>
          <t>Peony</t>
        </is>
      </c>
      <c r="I113" s="5" t="inlineStr">
        <is>
          <t>Patchouli, White Musk</t>
        </is>
      </c>
      <c r="J113" s="6" t="n"/>
      <c r="K113" s="5" t="inlineStr">
        <is>
          <t>fruity</t>
        </is>
      </c>
      <c r="L113" s="5" t="inlineStr">
        <is>
          <t>floral, gourmand</t>
        </is>
      </c>
      <c r="M113" s="5" t="inlineStr">
        <is>
          <t>sweet, lovely, fresh, elegant</t>
        </is>
      </c>
      <c r="N113" s="5" t="inlineStr">
        <is>
          <t>tooSweet</t>
        </is>
      </c>
      <c r="O113" s="5" t="inlineStr">
        <is>
          <t>medium</t>
        </is>
      </c>
      <c r="P113" s="5" t="inlineStr">
        <is>
          <t>mid</t>
        </is>
      </c>
      <c r="Q113" s="5" t="inlineStr">
        <is>
          <t>봄·가을 · 데이트</t>
        </is>
      </c>
      <c r="R113" s="5" t="inlineStr">
        <is>
          <t>딸기와 작약, 패출리가 어우러진 달콤한 향</t>
        </is>
      </c>
      <c r="S113" s="5" t="inlineStr">
        <is>
          <t>시간이 지나면 화이트 머스크와 패출리가 남아요</t>
        </is>
      </c>
      <c r="T113" s="5" t="inlineStr">
        <is>
          <t>딸기의 달콤함이 부담스럽지 않은지 확인해 보세요</t>
        </is>
      </c>
      <c r="U113" s="6" t="n"/>
      <c r="V113" s="6" t="n"/>
      <c r="W113" s="6" t="n"/>
      <c r="X113" s="6" t="n"/>
      <c r="Y113" s="4" t="inlineStr">
        <is>
          <t>입생로랑 뷰티 백화점</t>
        </is>
      </c>
      <c r="Z113" s="6" t="inlineStr">
        <is>
          <t>백화점</t>
        </is>
      </c>
      <c r="AA113" s="6" t="n"/>
      <c r="AB113" s="6" t="n"/>
      <c r="AC113" s="4" t="inlineStr">
        <is>
          <t>AI 초안 (공식 확인 전)</t>
        </is>
      </c>
      <c r="AD113" s="4" t="inlineStr">
        <is>
          <t>노트·농도 공식 확인 / 국내 정가 / 이미지 / 시향 가능 채널</t>
        </is>
      </c>
      <c r="AE113" s="6" t="inlineStr">
        <is>
          <t>보통 (앱에 표시)</t>
        </is>
      </c>
    </row>
    <row r="114">
      <c r="A114" s="4" t="inlineStr">
        <is>
          <t>prada-candy</t>
        </is>
      </c>
      <c r="B114" s="4" t="inlineStr">
        <is>
          <t>Prada</t>
        </is>
      </c>
      <c r="C114" s="5" t="inlineStr">
        <is>
          <t>프라다</t>
        </is>
      </c>
      <c r="D114" s="4" t="inlineStr">
        <is>
          <t>Candy</t>
        </is>
      </c>
      <c r="E114" s="5" t="inlineStr">
        <is>
          <t>캔디</t>
        </is>
      </c>
      <c r="F114" s="5" t="inlineStr">
        <is>
          <t>EDP</t>
        </is>
      </c>
      <c r="G114" s="5" t="inlineStr">
        <is>
          <t>Caramel</t>
        </is>
      </c>
      <c r="H114" s="5" t="inlineStr">
        <is>
          <t>Musk, Benzoin</t>
        </is>
      </c>
      <c r="I114" s="5" t="inlineStr">
        <is>
          <t>Vanilla</t>
        </is>
      </c>
      <c r="J114" s="6" t="n"/>
      <c r="K114" s="5" t="inlineStr">
        <is>
          <t>gourmand</t>
        </is>
      </c>
      <c r="L114" s="5" t="inlineStr">
        <is>
          <t>musk, amber</t>
        </is>
      </c>
      <c r="M114" s="5" t="inlineStr">
        <is>
          <t>sweet, cozy, warm, sensual</t>
        </is>
      </c>
      <c r="N114" s="5" t="inlineStr">
        <is>
          <t>tooSweet, powdery</t>
        </is>
      </c>
      <c r="O114" s="5" t="inlineStr">
        <is>
          <t>medium</t>
        </is>
      </c>
      <c r="P114" s="5" t="inlineStr">
        <is>
          <t>mid</t>
        </is>
      </c>
      <c r="Q114" s="5" t="inlineStr">
        <is>
          <t>가을·겨울 · 데일리</t>
        </is>
      </c>
      <c r="R114" s="5" t="inlineStr">
        <is>
          <t>카라멜 사탕처럼 달콤하고 포근한 향</t>
        </is>
      </c>
      <c r="S114" s="5" t="inlineStr">
        <is>
          <t>시간이 지나도 달콤한 바닐라와 머스크가 남아요</t>
        </is>
      </c>
      <c r="T114" s="5" t="inlineStr">
        <is>
          <t>카라멜의 달콤함이 얼마나 진한지 확인해 보세요</t>
        </is>
      </c>
      <c r="U114" s="6" t="n"/>
      <c r="V114" s="6" t="n"/>
      <c r="W114" s="6" t="n"/>
      <c r="X114" s="6" t="n"/>
      <c r="Y114" s="4" t="inlineStr">
        <is>
          <t>프라다 뷰티 백화점</t>
        </is>
      </c>
      <c r="Z114" s="6" t="inlineStr">
        <is>
          <t>백화점</t>
        </is>
      </c>
      <c r="AA114" s="6" t="n"/>
      <c r="AB114" s="6" t="n"/>
      <c r="AC114" s="4" t="inlineStr">
        <is>
          <t>AI 초안 (공식 확인 전)</t>
        </is>
      </c>
      <c r="AD114" s="4" t="inlineStr">
        <is>
          <t>노트·농도 공식 확인 / 국내 정가 / 이미지 / 시향 가능 채널</t>
        </is>
      </c>
      <c r="AE114" s="6" t="inlineStr">
        <is>
          <t>낮음 (앱에 표시 안 함)</t>
        </is>
      </c>
    </row>
    <row r="115">
      <c r="A115" s="4" t="inlineStr">
        <is>
          <t>mugler-alien</t>
        </is>
      </c>
      <c r="B115" s="4" t="inlineStr">
        <is>
          <t>Mugler</t>
        </is>
      </c>
      <c r="C115" s="5" t="inlineStr">
        <is>
          <t>뮈글러</t>
        </is>
      </c>
      <c r="D115" s="4" t="inlineStr">
        <is>
          <t>Alien</t>
        </is>
      </c>
      <c r="E115" s="5" t="inlineStr">
        <is>
          <t>에일리언</t>
        </is>
      </c>
      <c r="F115" s="5" t="inlineStr">
        <is>
          <t>EDP</t>
        </is>
      </c>
      <c r="G115" s="5" t="inlineStr">
        <is>
          <t>Jasmine</t>
        </is>
      </c>
      <c r="H115" s="5" t="inlineStr">
        <is>
          <t>Cashmeran</t>
        </is>
      </c>
      <c r="I115" s="5" t="inlineStr">
        <is>
          <t>Amber</t>
        </is>
      </c>
      <c r="J115" s="6" t="n"/>
      <c r="K115" s="5" t="inlineStr">
        <is>
          <t>whiteFloral</t>
        </is>
      </c>
      <c r="L115" s="5" t="inlineStr">
        <is>
          <t>woody, amber</t>
        </is>
      </c>
      <c r="M115" s="5" t="inlineStr">
        <is>
          <t>sensual, deep, elegant, warm</t>
        </is>
      </c>
      <c r="N115" s="5" t="inlineStr">
        <is>
          <t>heavyFloral, headache</t>
        </is>
      </c>
      <c r="O115" s="5" t="inlineStr">
        <is>
          <t>strong</t>
        </is>
      </c>
      <c r="P115" s="5" t="inlineStr">
        <is>
          <t>high</t>
        </is>
      </c>
      <c r="Q115" s="5" t="inlineStr">
        <is>
          <t>가을·겨울 · 저녁</t>
        </is>
      </c>
      <c r="R115" s="5" t="inlineStr">
        <is>
          <t>진한 자스민과 따뜻한 나무가 어우러진 개성 있는 향</t>
        </is>
      </c>
      <c r="S115" s="5" t="inlineStr">
        <is>
          <t>시간이 지나도 따뜻한 앰버가 오래 남아요</t>
        </is>
      </c>
      <c r="T115" s="5" t="inlineStr">
        <is>
          <t>향이 진하니 소량만 뿌려 맡아보세요</t>
        </is>
      </c>
      <c r="U115" s="6" t="n"/>
      <c r="V115" s="6" t="n"/>
      <c r="W115" s="6" t="n"/>
      <c r="X115" s="6" t="n"/>
      <c r="Y115" s="4" t="inlineStr">
        <is>
          <t>뮈글러 향수 매장</t>
        </is>
      </c>
      <c r="Z115" s="6" t="inlineStr">
        <is>
          <t>[확인 필요]</t>
        </is>
      </c>
      <c r="AA115" s="6" t="n"/>
      <c r="AB115" s="6" t="n"/>
      <c r="AC115" s="4" t="inlineStr">
        <is>
          <t>AI 초안 (공식 확인 전)</t>
        </is>
      </c>
      <c r="AD115" s="4" t="inlineStr">
        <is>
          <t>노트·농도 공식 확인 / 국내 정가 / 이미지 / 시향 가능 채널</t>
        </is>
      </c>
      <c r="AE115" s="6" t="inlineStr">
        <is>
          <t>미확인</t>
        </is>
      </c>
    </row>
    <row r="116">
      <c r="A116" s="4" t="inlineStr">
        <is>
          <t>chanel-chance-eau-de-parfum</t>
        </is>
      </c>
      <c r="B116" s="4" t="inlineStr">
        <is>
          <t>Chanel</t>
        </is>
      </c>
      <c r="C116" s="5" t="inlineStr">
        <is>
          <t>샤넬</t>
        </is>
      </c>
      <c r="D116" s="4" t="inlineStr">
        <is>
          <t>Chance Eau de Parfum</t>
        </is>
      </c>
      <c r="E116" s="5" t="inlineStr">
        <is>
          <t>샹스 오 드 빠르펭</t>
        </is>
      </c>
      <c r="F116" s="5" t="inlineStr">
        <is>
          <t>EDP</t>
        </is>
      </c>
      <c r="G116" s="5" t="inlineStr">
        <is>
          <t>Pink Pepper, Lemon</t>
        </is>
      </c>
      <c r="H116" s="5" t="inlineStr">
        <is>
          <t>Jasmine, Iris</t>
        </is>
      </c>
      <c r="I116" s="5" t="inlineStr">
        <is>
          <t>Patchouli, Vetiver, White Musk</t>
        </is>
      </c>
      <c r="J116" s="6" t="n"/>
      <c r="K116" s="5" t="inlineStr">
        <is>
          <t>floral</t>
        </is>
      </c>
      <c r="L116" s="5" t="inlineStr">
        <is>
          <t>woody</t>
        </is>
      </c>
      <c r="M116" s="5" t="inlineStr">
        <is>
          <t>elegant, warm, lovely</t>
        </is>
      </c>
      <c r="N116" s="5" t="n"/>
      <c r="O116" s="5" t="inlineStr">
        <is>
          <t>medium</t>
        </is>
      </c>
      <c r="P116" s="5" t="inlineStr">
        <is>
          <t>mid</t>
        </is>
      </c>
      <c r="Q116" s="5" t="inlineStr">
        <is>
          <t>사계절 · 데이트</t>
        </is>
      </c>
      <c r="R116" s="5" t="inlineStr">
        <is>
          <t>핑크페퍼가 톡 튀는 우아한 플로럴 우디 향</t>
        </is>
      </c>
      <c r="S116" s="5" t="inlineStr">
        <is>
          <t>몇 시간 뒤엔 파촐리와 포근한 머스크가 남아요</t>
        </is>
      </c>
      <c r="T116" s="5" t="inlineStr">
        <is>
          <t>첫 향의 핑크페퍼와 레몬이 재스민으로 이어지는지 맡아보세요</t>
        </is>
      </c>
      <c r="U116" s="6" t="n"/>
      <c r="V116" s="6" t="n"/>
      <c r="W116" s="6" t="n"/>
      <c r="X116" s="6" t="n"/>
      <c r="Y116" s="4" t="inlineStr">
        <is>
          <t>샤넬 백화점</t>
        </is>
      </c>
      <c r="Z116" s="6" t="inlineStr">
        <is>
          <t>백화점</t>
        </is>
      </c>
      <c r="AA116" s="6" t="n"/>
      <c r="AB116" s="6" t="n"/>
      <c r="AC116" s="4" t="inlineStr">
        <is>
          <t>AI 초안 (공식 확인 전)</t>
        </is>
      </c>
      <c r="AD116" s="4" t="inlineStr">
        <is>
          <t>노트·농도 공식 확인 / 국내 정가 / 이미지</t>
        </is>
      </c>
      <c r="AE116" s="6" t="inlineStr">
        <is>
          <t>보통 (앱에 표시)</t>
        </is>
      </c>
    </row>
    <row r="117">
      <c r="A117" s="4" t="inlineStr">
        <is>
          <t>chanel-gabrielle</t>
        </is>
      </c>
      <c r="B117" s="4" t="inlineStr">
        <is>
          <t>Chanel</t>
        </is>
      </c>
      <c r="C117" s="5" t="inlineStr">
        <is>
          <t>샤넬</t>
        </is>
      </c>
      <c r="D117" s="4" t="inlineStr">
        <is>
          <t>Gabrielle Eau de Parfum</t>
        </is>
      </c>
      <c r="E117" s="5" t="inlineStr">
        <is>
          <t>가브리엘 샤넬 오 드 빠르펭</t>
        </is>
      </c>
      <c r="F117" s="5" t="inlineStr">
        <is>
          <t>EDP</t>
        </is>
      </c>
      <c r="G117" s="5" t="inlineStr">
        <is>
          <t>Mandarin, Grapefruit</t>
        </is>
      </c>
      <c r="H117" s="5" t="inlineStr">
        <is>
          <t>Jasmine, Orange Blossom, Ylang-Ylang</t>
        </is>
      </c>
      <c r="I117" s="5" t="inlineStr">
        <is>
          <t>Sandalwood, Musk</t>
        </is>
      </c>
      <c r="J117" s="6" t="n"/>
      <c r="K117" s="5" t="inlineStr">
        <is>
          <t>whiteFloral</t>
        </is>
      </c>
      <c r="L117" s="5" t="inlineStr">
        <is>
          <t>citrus</t>
        </is>
      </c>
      <c r="M117" s="5" t="inlineStr">
        <is>
          <t>elegant, lovely, fresh, clean</t>
        </is>
      </c>
      <c r="N117" s="5" t="n"/>
      <c r="O117" s="5" t="inlineStr">
        <is>
          <t>medium</t>
        </is>
      </c>
      <c r="P117" s="5" t="inlineStr">
        <is>
          <t>low</t>
        </is>
      </c>
      <c r="Q117" s="5" t="inlineStr">
        <is>
          <t>봄·여름 · 출근</t>
        </is>
      </c>
      <c r="R117" s="5" t="inlineStr">
        <is>
          <t>흰 꽃과 상큼한 과일이 밝게 피어나는 향</t>
        </is>
      </c>
      <c r="S117" s="5" t="inlineStr">
        <is>
          <t>몇 시간 뒤엔 부드러운 샌달우드와 머스크가 남아요</t>
        </is>
      </c>
      <c r="T117" s="5" t="inlineStr">
        <is>
          <t>재스민과 오렌지 블로썸이 과하지 않게 느껴지는지 맡아보세요</t>
        </is>
      </c>
      <c r="U117" s="6" t="n"/>
      <c r="V117" s="6" t="n"/>
      <c r="W117" s="6" t="n"/>
      <c r="X117" s="6" t="n"/>
      <c r="Y117" s="4" t="inlineStr">
        <is>
          <t>샤넬 백화점</t>
        </is>
      </c>
      <c r="Z117" s="6" t="inlineStr">
        <is>
          <t>백화점</t>
        </is>
      </c>
      <c r="AA117" s="6" t="n"/>
      <c r="AB117" s="6" t="n"/>
      <c r="AC117" s="4" t="inlineStr">
        <is>
          <t>AI 초안 (공식 확인 전)</t>
        </is>
      </c>
      <c r="AD117" s="4" t="inlineStr">
        <is>
          <t>노트·농도 공식 확인 / 국내 정가 / 이미지</t>
        </is>
      </c>
      <c r="AE117" s="6" t="inlineStr">
        <is>
          <t>보통 (앱에 표시)</t>
        </is>
      </c>
    </row>
    <row r="118">
      <c r="A118" s="4" t="inlineStr">
        <is>
          <t>chanel-allure-homme-sport</t>
        </is>
      </c>
      <c r="B118" s="4" t="inlineStr">
        <is>
          <t>Chanel</t>
        </is>
      </c>
      <c r="C118" s="5" t="inlineStr">
        <is>
          <t>샤넬</t>
        </is>
      </c>
      <c r="D118" s="4" t="inlineStr">
        <is>
          <t>Allure Homme Sport</t>
        </is>
      </c>
      <c r="E118" s="5" t="inlineStr">
        <is>
          <t>알뤼르 옴므 스포츠</t>
        </is>
      </c>
      <c r="F118" s="5" t="inlineStr">
        <is>
          <t>EDT</t>
        </is>
      </c>
      <c r="G118" s="5" t="inlineStr">
        <is>
          <t>Orange, Mandarin, Aldehydes</t>
        </is>
      </c>
      <c r="H118" s="5" t="inlineStr">
        <is>
          <t>Pepper, Cedar</t>
        </is>
      </c>
      <c r="I118" s="5" t="inlineStr">
        <is>
          <t>Vanilla, Tonka Bean, Musk, Vetiver</t>
        </is>
      </c>
      <c r="J118" s="6" t="n"/>
      <c r="K118" s="5" t="inlineStr">
        <is>
          <t>citrus</t>
        </is>
      </c>
      <c r="L118" s="5" t="inlineStr">
        <is>
          <t>woody, aromatic</t>
        </is>
      </c>
      <c r="M118" s="5" t="inlineStr">
        <is>
          <t>fresh, zesty, clean, cool</t>
        </is>
      </c>
      <c r="N118" s="5" t="n"/>
      <c r="O118" s="5" t="inlineStr">
        <is>
          <t>medium</t>
        </is>
      </c>
      <c r="P118" s="5" t="inlineStr">
        <is>
          <t>low</t>
        </is>
      </c>
      <c r="Q118" s="5" t="inlineStr">
        <is>
          <t>봄·여름 · 운동</t>
        </is>
      </c>
      <c r="R118" s="5" t="inlineStr">
        <is>
          <t>오렌지의 산뜻함에 깔끔한 우디가 더해진 향</t>
        </is>
      </c>
      <c r="S118" s="5" t="inlineStr">
        <is>
          <t>몇 시간 뒤엔 바닐라와 우디 머스크가 은은히 남아요</t>
        </is>
      </c>
      <c r="T118" s="5" t="inlineStr">
        <is>
          <t>오렌지 향 뒤에 후추와 시더가 깔끔하게 따라오는지 맡아보세요</t>
        </is>
      </c>
      <c r="U118" s="6" t="n"/>
      <c r="V118" s="6" t="n"/>
      <c r="W118" s="6" t="n"/>
      <c r="X118" s="6" t="n"/>
      <c r="Y118" s="4" t="inlineStr">
        <is>
          <t>샤넬 백화점</t>
        </is>
      </c>
      <c r="Z118" s="6" t="inlineStr">
        <is>
          <t>백화점</t>
        </is>
      </c>
      <c r="AA118" s="6" t="n"/>
      <c r="AB118" s="6" t="n"/>
      <c r="AC118" s="4" t="inlineStr">
        <is>
          <t>AI 초안 (공식 확인 전)</t>
        </is>
      </c>
      <c r="AD118" s="4" t="inlineStr">
        <is>
          <t>노트·농도 공식 확인 / 국내 정가 / 이미지</t>
        </is>
      </c>
      <c r="AE118" s="6" t="inlineStr">
        <is>
          <t>보통 (앱에 표시)</t>
        </is>
      </c>
    </row>
    <row r="119">
      <c r="A119" s="4" t="inlineStr">
        <is>
          <t>dior-miss-dior-eau-de-parfum</t>
        </is>
      </c>
      <c r="B119" s="4" t="inlineStr">
        <is>
          <t>Dior</t>
        </is>
      </c>
      <c r="C119" s="5" t="inlineStr">
        <is>
          <t>디올</t>
        </is>
      </c>
      <c r="D119" s="4" t="inlineStr">
        <is>
          <t>Miss Dior Eau de Parfum</t>
        </is>
      </c>
      <c r="E119" s="5" t="inlineStr">
        <is>
          <t>미스 디올 오 드 퍼퓸</t>
        </is>
      </c>
      <c r="F119" s="5" t="inlineStr">
        <is>
          <t>EDP</t>
        </is>
      </c>
      <c r="G119" s="5" t="inlineStr">
        <is>
          <t>Mandarin, Peony</t>
        </is>
      </c>
      <c r="H119" s="5" t="inlineStr">
        <is>
          <t>Rose, Lily of the Valley</t>
        </is>
      </c>
      <c r="I119" s="5" t="inlineStr">
        <is>
          <t>Musk, Patchouli, Sandalwood</t>
        </is>
      </c>
      <c r="J119" s="6" t="n"/>
      <c r="K119" s="5" t="inlineStr">
        <is>
          <t>floral</t>
        </is>
      </c>
      <c r="L119" s="5" t="inlineStr">
        <is>
          <t>musk</t>
        </is>
      </c>
      <c r="M119" s="5" t="inlineStr">
        <is>
          <t>lovely, soft, elegant</t>
        </is>
      </c>
      <c r="N119" s="5" t="n"/>
      <c r="O119" s="5" t="inlineStr">
        <is>
          <t>medium</t>
        </is>
      </c>
      <c r="P119" s="5" t="inlineStr">
        <is>
          <t>low</t>
        </is>
      </c>
      <c r="Q119" s="5" t="inlineStr">
        <is>
          <t>봄 · 데이트</t>
        </is>
      </c>
      <c r="R119" s="5" t="inlineStr">
        <is>
          <t>장미와 은방울꽃이 포근하게 감싸는 플로럴 향</t>
        </is>
      </c>
      <c r="S119" s="5" t="inlineStr">
        <is>
          <t>몇 시간 뒤엔 보드라운 머스크와 우디가 남아요</t>
        </is>
      </c>
      <c r="T119" s="5" t="inlineStr">
        <is>
          <t>장미 향이 달콤하기보다 보송하게 느껴지는지 맡아보세요</t>
        </is>
      </c>
      <c r="U119" s="6" t="n"/>
      <c r="V119" s="6" t="n"/>
      <c r="W119" s="6" t="n"/>
      <c r="X119" s="6" t="n"/>
      <c r="Y119" s="4" t="inlineStr">
        <is>
          <t>디올 백화점</t>
        </is>
      </c>
      <c r="Z119" s="6" t="inlineStr">
        <is>
          <t>백화점</t>
        </is>
      </c>
      <c r="AA119" s="6" t="n"/>
      <c r="AB119" s="6" t="n"/>
      <c r="AC119" s="4" t="inlineStr">
        <is>
          <t>AI 초안 (공식 확인 전)</t>
        </is>
      </c>
      <c r="AD119" s="4" t="inlineStr">
        <is>
          <t>노트·농도 공식 확인 / 국내 정가 / 이미지</t>
        </is>
      </c>
      <c r="AE119" s="6" t="inlineStr">
        <is>
          <t>보통 (앱에 표시)</t>
        </is>
      </c>
    </row>
    <row r="120">
      <c r="A120" s="4" t="inlineStr">
        <is>
          <t>dior-homme-edt</t>
        </is>
      </c>
      <c r="B120" s="4" t="inlineStr">
        <is>
          <t>Dior</t>
        </is>
      </c>
      <c r="C120" s="5" t="inlineStr">
        <is>
          <t>디올</t>
        </is>
      </c>
      <c r="D120" s="4" t="inlineStr">
        <is>
          <t>Dior Homme Eau de Toilette</t>
        </is>
      </c>
      <c r="E120" s="5" t="inlineStr">
        <is>
          <t>디올 옴므 오 드 뚜왈렛</t>
        </is>
      </c>
      <c r="F120" s="5" t="inlineStr">
        <is>
          <t>EDT</t>
        </is>
      </c>
      <c r="G120" s="5" t="inlineStr">
        <is>
          <t>Lavender, Bergamot</t>
        </is>
      </c>
      <c r="H120" s="5" t="inlineStr">
        <is>
          <t>Iris, Cacao</t>
        </is>
      </c>
      <c r="I120" s="5" t="inlineStr">
        <is>
          <t>Vetiver, Leather, Cedar</t>
        </is>
      </c>
      <c r="J120" s="6" t="n"/>
      <c r="K120" s="5" t="inlineStr">
        <is>
          <t>powdery</t>
        </is>
      </c>
      <c r="L120" s="5" t="inlineStr">
        <is>
          <t>woody</t>
        </is>
      </c>
      <c r="M120" s="5" t="inlineStr">
        <is>
          <t>elegant, soft, calm, cozy</t>
        </is>
      </c>
      <c r="N120" s="5" t="inlineStr">
        <is>
          <t>powdery</t>
        </is>
      </c>
      <c r="O120" s="5" t="inlineStr">
        <is>
          <t>medium</t>
        </is>
      </c>
      <c r="P120" s="5" t="inlineStr">
        <is>
          <t>mid</t>
        </is>
      </c>
      <c r="Q120" s="5" t="inlineStr">
        <is>
          <t>가을·겨울 · 출근</t>
        </is>
      </c>
      <c r="R120" s="5" t="inlineStr">
        <is>
          <t>아이리스의 파우더리함이 돋보이는 세련된 향</t>
        </is>
      </c>
      <c r="S120" s="5" t="inlineStr">
        <is>
          <t>몇 시간 뒤엔 부드러운 가죽과 베티버가 남아요</t>
        </is>
      </c>
      <c r="T120" s="5" t="inlineStr">
        <is>
          <t>아이리스의 파우더 느낌이 부담스럽지 않은지 맡아보세요</t>
        </is>
      </c>
      <c r="U120" s="6" t="n"/>
      <c r="V120" s="6" t="n"/>
      <c r="W120" s="6" t="n"/>
      <c r="X120" s="6" t="n"/>
      <c r="Y120" s="4" t="inlineStr">
        <is>
          <t>디올 백화점</t>
        </is>
      </c>
      <c r="Z120" s="6" t="inlineStr">
        <is>
          <t>백화점</t>
        </is>
      </c>
      <c r="AA120" s="6" t="n"/>
      <c r="AB120" s="6" t="n"/>
      <c r="AC120" s="4" t="inlineStr">
        <is>
          <t>AI 초안 (공식 확인 전)</t>
        </is>
      </c>
      <c r="AD120" s="4" t="inlineStr">
        <is>
          <t>노트·농도 공식 확인 / 국내 정가 / 이미지</t>
        </is>
      </c>
      <c r="AE120" s="6" t="inlineStr">
        <is>
          <t>보통 (앱에 표시)</t>
        </is>
      </c>
    </row>
    <row r="121">
      <c r="A121" s="4" t="inlineStr">
        <is>
          <t>dior-hypnotic-poison</t>
        </is>
      </c>
      <c r="B121" s="4" t="inlineStr">
        <is>
          <t>Dior</t>
        </is>
      </c>
      <c r="C121" s="5" t="inlineStr">
        <is>
          <t>디올</t>
        </is>
      </c>
      <c r="D121" s="4" t="inlineStr">
        <is>
          <t>Hypnotic Poison Eau de Toilette</t>
        </is>
      </c>
      <c r="E121" s="5" t="inlineStr">
        <is>
          <t>하이프노틱 푸아종 오 드 뚜왈렛</t>
        </is>
      </c>
      <c r="F121" s="5" t="inlineStr">
        <is>
          <t>EDT</t>
        </is>
      </c>
      <c r="G121" s="5" t="inlineStr">
        <is>
          <t>Almond, Plum, Coconut</t>
        </is>
      </c>
      <c r="H121" s="5" t="inlineStr">
        <is>
          <t>Jasmine, Tuberose</t>
        </is>
      </c>
      <c r="I121" s="5" t="inlineStr">
        <is>
          <t>Vanilla, Sandalwood, Musk</t>
        </is>
      </c>
      <c r="J121" s="6" t="n"/>
      <c r="K121" s="5" t="inlineStr">
        <is>
          <t>gourmand</t>
        </is>
      </c>
      <c r="L121" s="5" t="inlineStr">
        <is>
          <t>whiteFloral</t>
        </is>
      </c>
      <c r="M121" s="5" t="inlineStr">
        <is>
          <t>sensual, sweet, warm, deep</t>
        </is>
      </c>
      <c r="N121" s="5" t="inlineStr">
        <is>
          <t>tooSweet</t>
        </is>
      </c>
      <c r="O121" s="5" t="inlineStr">
        <is>
          <t>strong</t>
        </is>
      </c>
      <c r="P121" s="5" t="inlineStr">
        <is>
          <t>high</t>
        </is>
      </c>
      <c r="Q121" s="5" t="inlineStr">
        <is>
          <t>가을·겨울 · 저녁 약속</t>
        </is>
      </c>
      <c r="R121" s="5" t="inlineStr">
        <is>
          <t>아몬드와 바닐라가 짙게 퍼지는 관능적인 향</t>
        </is>
      </c>
      <c r="S121" s="5" t="inlineStr">
        <is>
          <t>몇 시간 뒤엔 달콤한 바닐라와 머스크가 남아요</t>
        </is>
      </c>
      <c r="T121" s="5" t="inlineStr">
        <is>
          <t>아몬드와 바닐라의 단맛이 부담스럽지 않은지 맡아보세요</t>
        </is>
      </c>
      <c r="U121" s="6" t="n"/>
      <c r="V121" s="6" t="n"/>
      <c r="W121" s="6" t="n"/>
      <c r="X121" s="6" t="n"/>
      <c r="Y121" s="4" t="inlineStr">
        <is>
          <t>디올 백화점</t>
        </is>
      </c>
      <c r="Z121" s="6" t="inlineStr">
        <is>
          <t>백화점</t>
        </is>
      </c>
      <c r="AA121" s="6" t="n"/>
      <c r="AB121" s="6" t="n"/>
      <c r="AC121" s="4" t="inlineStr">
        <is>
          <t>AI 초안 (공식 확인 전)</t>
        </is>
      </c>
      <c r="AD121" s="4" t="inlineStr">
        <is>
          <t>노트·농도 공식 확인 / 국내 정가 / 이미지</t>
        </is>
      </c>
      <c r="AE121" s="6" t="inlineStr">
        <is>
          <t>보통 (앱에 표시)</t>
        </is>
      </c>
    </row>
    <row r="122">
      <c r="A122" s="4" t="inlineStr">
        <is>
          <t>dior-fahrenheit</t>
        </is>
      </c>
      <c r="B122" s="4" t="inlineStr">
        <is>
          <t>Dior</t>
        </is>
      </c>
      <c r="C122" s="5" t="inlineStr">
        <is>
          <t>디올</t>
        </is>
      </c>
      <c r="D122" s="4" t="inlineStr">
        <is>
          <t>Fahrenheit Eau de Toilette</t>
        </is>
      </c>
      <c r="E122" s="5" t="inlineStr">
        <is>
          <t>파렌하이트 오 드 뚜왈렛</t>
        </is>
      </c>
      <c r="F122" s="5" t="inlineStr">
        <is>
          <t>EDT</t>
        </is>
      </c>
      <c r="G122" s="5" t="inlineStr">
        <is>
          <t>Lavender, Mandarin, Nutmeg</t>
        </is>
      </c>
      <c r="H122" s="5" t="inlineStr">
        <is>
          <t>Violet Leaf, Jasmine</t>
        </is>
      </c>
      <c r="I122" s="5" t="inlineStr">
        <is>
          <t>Leather, Vetiver, Musk</t>
        </is>
      </c>
      <c r="J122" s="6" t="n"/>
      <c r="K122" s="5" t="inlineStr">
        <is>
          <t>leather</t>
        </is>
      </c>
      <c r="L122" s="5" t="inlineStr">
        <is>
          <t>aromatic, woody</t>
        </is>
      </c>
      <c r="M122" s="5" t="inlineStr">
        <is>
          <t>deep, warm, elegant, sensual</t>
        </is>
      </c>
      <c r="N122" s="5" t="inlineStr">
        <is>
          <t>smoky</t>
        </is>
      </c>
      <c r="O122" s="5" t="inlineStr">
        <is>
          <t>strong</t>
        </is>
      </c>
      <c r="P122" s="5" t="inlineStr">
        <is>
          <t>high</t>
        </is>
      </c>
      <c r="Q122" s="5" t="inlineStr">
        <is>
          <t>가을·겨울 · 저녁 약속</t>
        </is>
      </c>
      <c r="R122" s="5" t="inlineStr">
        <is>
          <t>가죽과 제비꽃 잎이 어우러진 묵직한 클래식</t>
        </is>
      </c>
      <c r="S122" s="5" t="inlineStr">
        <is>
          <t>몇 시간 뒤엔 가죽과 베티버가 진하게 남아요</t>
        </is>
      </c>
      <c r="T122" s="5" t="inlineStr">
        <is>
          <t>가죽 향이 처음 향과 어떻게 이어지는지 맡아보세요</t>
        </is>
      </c>
      <c r="U122" s="6" t="n"/>
      <c r="V122" s="6" t="n"/>
      <c r="W122" s="6" t="n"/>
      <c r="X122" s="6" t="n"/>
      <c r="Y122" s="4" t="inlineStr">
        <is>
          <t>디올 백화점</t>
        </is>
      </c>
      <c r="Z122" s="6" t="inlineStr">
        <is>
          <t>백화점</t>
        </is>
      </c>
      <c r="AA122" s="6" t="n"/>
      <c r="AB122" s="6" t="n"/>
      <c r="AC122" s="4" t="inlineStr">
        <is>
          <t>AI 초안 (공식 확인 전)</t>
        </is>
      </c>
      <c r="AD122" s="4" t="inlineStr">
        <is>
          <t>노트·농도 공식 확인 / 국내 정가 / 이미지</t>
        </is>
      </c>
      <c r="AE122" s="6" t="inlineStr">
        <is>
          <t>보통 (앱에 표시)</t>
        </is>
      </c>
    </row>
    <row r="123">
      <c r="A123" s="4" t="inlineStr">
        <is>
          <t>dior-joy</t>
        </is>
      </c>
      <c r="B123" s="4" t="inlineStr">
        <is>
          <t>Dior</t>
        </is>
      </c>
      <c r="C123" s="5" t="inlineStr">
        <is>
          <t>디올</t>
        </is>
      </c>
      <c r="D123" s="4" t="inlineStr">
        <is>
          <t>Joy by Dior Eau de Parfum</t>
        </is>
      </c>
      <c r="E123" s="5" t="inlineStr">
        <is>
          <t>조이 바이 디올 오 드 퍼퓸</t>
        </is>
      </c>
      <c r="F123" s="5" t="inlineStr">
        <is>
          <t>EDP</t>
        </is>
      </c>
      <c r="G123" s="5" t="inlineStr">
        <is>
          <t>Mandarin, Bergamot</t>
        </is>
      </c>
      <c r="H123" s="5" t="inlineStr">
        <is>
          <t>Rose, Jasmine</t>
        </is>
      </c>
      <c r="I123" s="5" t="inlineStr">
        <is>
          <t>Sandalwood, Musk</t>
        </is>
      </c>
      <c r="J123" s="6" t="n"/>
      <c r="K123" s="5" t="inlineStr">
        <is>
          <t>floral</t>
        </is>
      </c>
      <c r="L123" s="5" t="inlineStr">
        <is>
          <t>citrus</t>
        </is>
      </c>
      <c r="M123" s="5" t="inlineStr">
        <is>
          <t>lovely, fresh, elegant</t>
        </is>
      </c>
      <c r="N123" s="5" t="n"/>
      <c r="O123" s="5" t="inlineStr">
        <is>
          <t>medium</t>
        </is>
      </c>
      <c r="P123" s="5" t="inlineStr">
        <is>
          <t>low</t>
        </is>
      </c>
      <c r="Q123" s="5" t="inlineStr">
        <is>
          <t>봄·여름 · 데이트</t>
        </is>
      </c>
      <c r="R123" s="5" t="inlineStr">
        <is>
          <t>상큼한 감귤과 꽃이 밝게 어우러진 향</t>
        </is>
      </c>
      <c r="S123" s="5" t="inlineStr">
        <is>
          <t>몇 시간 뒤엔 부드러운 샌달우드와 머스크가 남아요</t>
        </is>
      </c>
      <c r="T123" s="5" t="inlineStr">
        <is>
          <t>감귤 향이 꽃 향으로 매끄럽게 이어지는지 맡아보세요</t>
        </is>
      </c>
      <c r="U123" s="6" t="n"/>
      <c r="V123" s="6" t="n"/>
      <c r="W123" s="6" t="n"/>
      <c r="X123" s="6" t="n"/>
      <c r="Y123" s="4" t="inlineStr">
        <is>
          <t>디올 백화점</t>
        </is>
      </c>
      <c r="Z123" s="6" t="inlineStr">
        <is>
          <t>백화점</t>
        </is>
      </c>
      <c r="AA123" s="6" t="n"/>
      <c r="AB123" s="6" t="n"/>
      <c r="AC123" s="4" t="inlineStr">
        <is>
          <t>AI 초안 (공식 확인 전)</t>
        </is>
      </c>
      <c r="AD123" s="4" t="inlineStr">
        <is>
          <t>노트·농도 공식 확인 / 국내 정가 / 이미지</t>
        </is>
      </c>
      <c r="AE123" s="6" t="inlineStr">
        <is>
          <t>보통 (앱에 표시)</t>
        </is>
      </c>
    </row>
    <row r="124">
      <c r="A124" s="4" t="inlineStr">
        <is>
          <t>ysl-l-homme-edt</t>
        </is>
      </c>
      <c r="B124" s="4" t="inlineStr">
        <is>
          <t>Yves Saint Laurent</t>
        </is>
      </c>
      <c r="C124" s="5" t="inlineStr">
        <is>
          <t>입생로랑</t>
        </is>
      </c>
      <c r="D124" s="4" t="inlineStr">
        <is>
          <t>L'Homme Eau de Toilette</t>
        </is>
      </c>
      <c r="E124" s="5" t="inlineStr">
        <is>
          <t>롬므 오 드 뚜왈렛</t>
        </is>
      </c>
      <c r="F124" s="5" t="inlineStr">
        <is>
          <t>EDT</t>
        </is>
      </c>
      <c r="G124" s="5" t="inlineStr">
        <is>
          <t>Bergamot, Lemon, Ginger</t>
        </is>
      </c>
      <c r="H124" s="5" t="inlineStr">
        <is>
          <t>Basil, Violet Leaf</t>
        </is>
      </c>
      <c r="I124" s="5" t="inlineStr">
        <is>
          <t>Cedar, Vetiver, Tonka Bean</t>
        </is>
      </c>
      <c r="J124" s="6" t="n"/>
      <c r="K124" s="5" t="inlineStr">
        <is>
          <t>aromatic</t>
        </is>
      </c>
      <c r="L124" s="5" t="inlineStr">
        <is>
          <t>citrus, woody</t>
        </is>
      </c>
      <c r="M124" s="5" t="inlineStr">
        <is>
          <t>fresh, clean, calm, cool</t>
        </is>
      </c>
      <c r="N124" s="5" t="n"/>
      <c r="O124" s="5" t="inlineStr">
        <is>
          <t>medium</t>
        </is>
      </c>
      <c r="P124" s="5" t="inlineStr">
        <is>
          <t>low</t>
        </is>
      </c>
      <c r="Q124" s="5" t="inlineStr">
        <is>
          <t>봄·가을 · 출근</t>
        </is>
      </c>
      <c r="R124" s="5" t="inlineStr">
        <is>
          <t>시트러스와 시더가 깔끔하게 이어지는 향</t>
        </is>
      </c>
      <c r="S124" s="5" t="inlineStr">
        <is>
          <t>몇 시간 뒤엔 시더와 은은한 통카가 남아요</t>
        </is>
      </c>
      <c r="T124" s="5" t="inlineStr">
        <is>
          <t>생강과 바질이 시원하게 느껴지는지 맡아보세요</t>
        </is>
      </c>
      <c r="U124" s="6" t="n"/>
      <c r="V124" s="6" t="n"/>
      <c r="W124" s="6" t="n"/>
      <c r="X124" s="6" t="n"/>
      <c r="Y124" s="4" t="inlineStr">
        <is>
          <t>입생로랑 백화점</t>
        </is>
      </c>
      <c r="Z124" s="6" t="inlineStr">
        <is>
          <t>백화점</t>
        </is>
      </c>
      <c r="AA124" s="6" t="n"/>
      <c r="AB124" s="6" t="n"/>
      <c r="AC124" s="4" t="inlineStr">
        <is>
          <t>AI 초안 (공식 확인 전)</t>
        </is>
      </c>
      <c r="AD124" s="4" t="inlineStr">
        <is>
          <t>노트·농도 공식 확인 / 국내 정가 / 이미지</t>
        </is>
      </c>
      <c r="AE124" s="6" t="inlineStr">
        <is>
          <t>보통 (앱에 표시)</t>
        </is>
      </c>
    </row>
    <row r="125">
      <c r="A125" s="4" t="inlineStr">
        <is>
          <t>ysl-la-nuit-de-l-homme</t>
        </is>
      </c>
      <c r="B125" s="4" t="inlineStr">
        <is>
          <t>Yves Saint Laurent</t>
        </is>
      </c>
      <c r="C125" s="5" t="inlineStr">
        <is>
          <t>입생로랑</t>
        </is>
      </c>
      <c r="D125" s="4" t="inlineStr">
        <is>
          <t>La Nuit de l'Homme Eau de Toilette</t>
        </is>
      </c>
      <c r="E125" s="5" t="inlineStr">
        <is>
          <t>라 뉘 드 롬므 오 드 뚜왈렛</t>
        </is>
      </c>
      <c r="F125" s="5" t="inlineStr">
        <is>
          <t>EDT</t>
        </is>
      </c>
      <c r="G125" s="5" t="inlineStr">
        <is>
          <t>Cardamom, Bergamot</t>
        </is>
      </c>
      <c r="H125" s="5" t="inlineStr">
        <is>
          <t>Lavender, Cedar</t>
        </is>
      </c>
      <c r="I125" s="5" t="inlineStr">
        <is>
          <t>Vetiver, Tonka Bean, Caramel</t>
        </is>
      </c>
      <c r="J125" s="6" t="n"/>
      <c r="K125" s="5" t="inlineStr">
        <is>
          <t>spicy</t>
        </is>
      </c>
      <c r="L125" s="5" t="inlineStr">
        <is>
          <t>aromatic, woody</t>
        </is>
      </c>
      <c r="M125" s="5" t="inlineStr">
        <is>
          <t>sensual, warm, deep</t>
        </is>
      </c>
      <c r="N125" s="5" t="inlineStr">
        <is>
          <t>spicy</t>
        </is>
      </c>
      <c r="O125" s="5" t="inlineStr">
        <is>
          <t>medium</t>
        </is>
      </c>
      <c r="P125" s="5" t="inlineStr">
        <is>
          <t>mid</t>
        </is>
      </c>
      <c r="Q125" s="5" t="inlineStr">
        <is>
          <t>가을·겨울 · 저녁 약속</t>
        </is>
      </c>
      <c r="R125" s="5" t="inlineStr">
        <is>
          <t>카다멈과 라벤더가 은근히 매혹적인 향</t>
        </is>
      </c>
      <c r="S125" s="5" t="inlineStr">
        <is>
          <t>몇 시간 뒤엔 통카와 시더가 부드럽게 남아요</t>
        </is>
      </c>
      <c r="T125" s="5" t="inlineStr">
        <is>
          <t>카다멈의 향신료 느낌이 부담스럽지 않은지 맡아보세요</t>
        </is>
      </c>
      <c r="U125" s="6" t="n"/>
      <c r="V125" s="6" t="n"/>
      <c r="W125" s="6" t="n"/>
      <c r="X125" s="6" t="n"/>
      <c r="Y125" s="4" t="inlineStr">
        <is>
          <t>입생로랑 백화점</t>
        </is>
      </c>
      <c r="Z125" s="6" t="inlineStr">
        <is>
          <t>백화점</t>
        </is>
      </c>
      <c r="AA125" s="6" t="n"/>
      <c r="AB125" s="6" t="n"/>
      <c r="AC125" s="4" t="inlineStr">
        <is>
          <t>AI 초안 (공식 확인 전)</t>
        </is>
      </c>
      <c r="AD125" s="4" t="inlineStr">
        <is>
          <t>노트·농도 공식 확인 / 국내 정가 / 이미지</t>
        </is>
      </c>
      <c r="AE125" s="6" t="inlineStr">
        <is>
          <t>보통 (앱에 표시)</t>
        </is>
      </c>
    </row>
    <row r="126">
      <c r="A126" s="4" t="inlineStr">
        <is>
          <t>hermes-eau-des-merveilles</t>
        </is>
      </c>
      <c r="B126" s="4" t="inlineStr">
        <is>
          <t>Hermès</t>
        </is>
      </c>
      <c r="C126" s="5" t="inlineStr">
        <is>
          <t>에르메스</t>
        </is>
      </c>
      <c r="D126" s="4" t="inlineStr">
        <is>
          <t>Eau des Merveilles</t>
        </is>
      </c>
      <c r="E126" s="5" t="inlineStr">
        <is>
          <t>오 데 메르베이으</t>
        </is>
      </c>
      <c r="F126" s="5" t="inlineStr">
        <is>
          <t>EDT</t>
        </is>
      </c>
      <c r="G126" s="5" t="inlineStr">
        <is>
          <t>Orange, Lemon, Pepper</t>
        </is>
      </c>
      <c r="H126" s="5" t="inlineStr">
        <is>
          <t>Amber, Cedar</t>
        </is>
      </c>
      <c r="I126" s="5" t="inlineStr">
        <is>
          <t>Oak, Vetiver, Musk</t>
        </is>
      </c>
      <c r="J126" s="6" t="n"/>
      <c r="K126" s="5" t="inlineStr">
        <is>
          <t>amber</t>
        </is>
      </c>
      <c r="L126" s="5" t="inlineStr">
        <is>
          <t>woody, citrus</t>
        </is>
      </c>
      <c r="M126" s="5" t="inlineStr">
        <is>
          <t>warm, soft, cozy, elegant</t>
        </is>
      </c>
      <c r="N126" s="5" t="n"/>
      <c r="O126" s="5" t="inlineStr">
        <is>
          <t>medium</t>
        </is>
      </c>
      <c r="P126" s="5" t="inlineStr">
        <is>
          <t>low</t>
        </is>
      </c>
      <c r="Q126" s="5" t="inlineStr">
        <is>
          <t>사계절 · 데이트</t>
        </is>
      </c>
      <c r="R126" s="5" t="inlineStr">
        <is>
          <t>오렌지와 따뜻한 나무 향이 어우러진 향</t>
        </is>
      </c>
      <c r="S126" s="5" t="inlineStr">
        <is>
          <t>몇 시간 뒤엔 앰버와 나무 향이 포근하게 남아요</t>
        </is>
      </c>
      <c r="T126" s="5" t="inlineStr">
        <is>
          <t>오렌지 향 뒤로 앰버와 나무 느낌이 따뜻한지 맡아보세요</t>
        </is>
      </c>
      <c r="U126" s="6" t="n">
        <v>100</v>
      </c>
      <c r="V126" s="6" t="n">
        <v>245000</v>
      </c>
      <c r="W126" s="6" t="inlineStr">
        <is>
          <t>2026-10-08</t>
        </is>
      </c>
      <c r="X126" s="6" t="inlineStr">
        <is>
          <t>https://www.hermes.com/kr/ko/category/fragrances/women/</t>
        </is>
      </c>
      <c r="Y126" s="4" t="inlineStr">
        <is>
          <t>에르메스 백화점</t>
        </is>
      </c>
      <c r="Z126" s="6" t="inlineStr">
        <is>
          <t>면세점</t>
        </is>
      </c>
      <c r="AA126" s="6" t="inlineStr">
        <is>
          <t>hermes-eau-des-merveilles.jpg</t>
        </is>
      </c>
      <c r="AB126" s="6" t="inlineStr">
        <is>
          <t>https://www.hermes.com/kr/ko/category/fragrances/women/</t>
        </is>
      </c>
      <c r="AC126" s="4" t="inlineStr">
        <is>
          <t>AI 초안 (공식 확인 전)</t>
        </is>
      </c>
      <c r="AD126" s="4" t="inlineStr">
        <is>
          <t>노트·농도 공식 확인</t>
        </is>
      </c>
      <c r="AE126" s="6" t="inlineStr">
        <is>
          <t>낮음 (앱에 표시 안 함)</t>
        </is>
      </c>
    </row>
    <row r="127">
      <c r="A127" s="4" t="inlineStr">
        <is>
          <t>hermes-un-jardin-en-mediterranee</t>
        </is>
      </c>
      <c r="B127" s="4" t="inlineStr">
        <is>
          <t>Hermès</t>
        </is>
      </c>
      <c r="C127" s="5" t="inlineStr">
        <is>
          <t>에르메스</t>
        </is>
      </c>
      <c r="D127" s="4" t="inlineStr">
        <is>
          <t>Un Jardin en Méditerranée</t>
        </is>
      </c>
      <c r="E127" s="5" t="inlineStr">
        <is>
          <t>엉 자르뎅 앙 메디테라네</t>
        </is>
      </c>
      <c r="F127" s="5" t="inlineStr">
        <is>
          <t>EDT</t>
        </is>
      </c>
      <c r="G127" s="5" t="inlineStr">
        <is>
          <t>Mandarin, Grapefruit</t>
        </is>
      </c>
      <c r="H127" s="5" t="inlineStr">
        <is>
          <t>Fig Leaf, Jasmine</t>
        </is>
      </c>
      <c r="I127" s="5" t="inlineStr">
        <is>
          <t>Cedar, Musk</t>
        </is>
      </c>
      <c r="J127" s="6" t="n"/>
      <c r="K127" s="5" t="inlineStr">
        <is>
          <t>green</t>
        </is>
      </c>
      <c r="L127" s="5" t="inlineStr">
        <is>
          <t>citrus, whiteFloral</t>
        </is>
      </c>
      <c r="M127" s="5" t="inlineStr">
        <is>
          <t>fresh, cool, calm</t>
        </is>
      </c>
      <c r="N127" s="5" t="n"/>
      <c r="O127" s="5" t="inlineStr">
        <is>
          <t>light</t>
        </is>
      </c>
      <c r="P127" s="5" t="inlineStr">
        <is>
          <t>low</t>
        </is>
      </c>
      <c r="Q127" s="5" t="inlineStr">
        <is>
          <t>봄·여름 · 휴가</t>
        </is>
      </c>
      <c r="R127" s="5" t="inlineStr">
        <is>
          <t>무화과 잎과 지중해 정원의 싱그러운 향</t>
        </is>
      </c>
      <c r="S127" s="5" t="inlineStr">
        <is>
          <t>몇 시간 뒤엔 가벼운 시더와 머스크가 남아요</t>
        </is>
      </c>
      <c r="T127" s="5" t="inlineStr">
        <is>
          <t>무화과 잎의 초록빛이 시트러스와 어울리는지 맡아보세요</t>
        </is>
      </c>
      <c r="U127" s="6" t="n">
        <v>100</v>
      </c>
      <c r="V127" s="6" t="n">
        <v>245000</v>
      </c>
      <c r="W127" s="6" t="inlineStr">
        <is>
          <t>2026-10-08</t>
        </is>
      </c>
      <c r="X127" s="6" t="inlineStr">
        <is>
          <t>https://www.hermes.com/kr/ko/category/fragrances/women/</t>
        </is>
      </c>
      <c r="Y127" s="4" t="inlineStr">
        <is>
          <t>에르메스 백화점</t>
        </is>
      </c>
      <c r="Z127" s="6" t="inlineStr">
        <is>
          <t>면세점</t>
        </is>
      </c>
      <c r="AA127" s="6" t="inlineStr">
        <is>
          <t>hermes-un-jardin-en-mediterranee.jpg</t>
        </is>
      </c>
      <c r="AB127" s="6" t="inlineStr">
        <is>
          <t>https://www.hermes.com/kr/ko/category/fragrances/women/</t>
        </is>
      </c>
      <c r="AC127" s="4" t="inlineStr">
        <is>
          <t>AI 초안 (공식 확인 전)</t>
        </is>
      </c>
      <c r="AD127" s="4" t="inlineStr">
        <is>
          <t>노트·농도 공식 확인</t>
        </is>
      </c>
      <c r="AE127" s="6" t="inlineStr">
        <is>
          <t>낮음 (앱에 표시 안 함)</t>
        </is>
      </c>
    </row>
    <row r="128">
      <c r="A128" s="4" t="inlineStr">
        <is>
          <t>hermes-voyage-d-hermes</t>
        </is>
      </c>
      <c r="B128" s="4" t="inlineStr">
        <is>
          <t>Hermès</t>
        </is>
      </c>
      <c r="C128" s="5" t="inlineStr">
        <is>
          <t>에르메스</t>
        </is>
      </c>
      <c r="D128" s="4" t="inlineStr">
        <is>
          <t>Voyage d'Hermès</t>
        </is>
      </c>
      <c r="E128" s="5" t="inlineStr">
        <is>
          <t>보야주 데르메스</t>
        </is>
      </c>
      <c r="F128" s="5" t="inlineStr">
        <is>
          <t>EDT</t>
        </is>
      </c>
      <c r="G128" s="5" t="inlineStr">
        <is>
          <t>Lemon, Juniper Berries, Cardamom</t>
        </is>
      </c>
      <c r="H128" s="5" t="inlineStr">
        <is>
          <t>Cedar, Pepper</t>
        </is>
      </c>
      <c r="I128" s="5" t="inlineStr">
        <is>
          <t>Musk, Vetiver, Amber</t>
        </is>
      </c>
      <c r="J128" s="6" t="n"/>
      <c r="K128" s="5" t="inlineStr">
        <is>
          <t>woody</t>
        </is>
      </c>
      <c r="L128" s="5" t="inlineStr">
        <is>
          <t>citrus, aromatic</t>
        </is>
      </c>
      <c r="M128" s="5" t="inlineStr">
        <is>
          <t>fresh, clean, calm</t>
        </is>
      </c>
      <c r="N128" s="5" t="n"/>
      <c r="O128" s="5" t="inlineStr">
        <is>
          <t>light</t>
        </is>
      </c>
      <c r="P128" s="5" t="inlineStr">
        <is>
          <t>low</t>
        </is>
      </c>
      <c r="Q128" s="5" t="inlineStr">
        <is>
          <t>사계절 · 출근</t>
        </is>
      </c>
      <c r="R128" s="5" t="inlineStr">
        <is>
          <t>시트러스와 시더가 가볍고 깨끗한 우디 향</t>
        </is>
      </c>
      <c r="S128" s="5" t="inlineStr">
        <is>
          <t>몇 시간 뒤엔 부드러운 머스크와 나무 향이 남아요</t>
        </is>
      </c>
      <c r="T128" s="5" t="inlineStr">
        <is>
          <t>시트러스가 시더와 향신료로 넓게 이어지는지 맡아보세요</t>
        </is>
      </c>
      <c r="U128" s="6" t="n"/>
      <c r="V128" s="6" t="n"/>
      <c r="W128" s="6" t="n"/>
      <c r="X128" s="6" t="n"/>
      <c r="Y128" s="4" t="inlineStr">
        <is>
          <t>에르메스 백화점</t>
        </is>
      </c>
      <c r="Z128" s="6" t="inlineStr">
        <is>
          <t>면세점</t>
        </is>
      </c>
      <c r="AA128" s="6" t="inlineStr">
        <is>
          <t>hermes-voyage-d-hermes.jpg</t>
        </is>
      </c>
      <c r="AB128" s="6" t="inlineStr">
        <is>
          <t>https://www.hermes.com/us/en/product/voyage-d-hermes-eau-de-toilette-V107568V0/</t>
        </is>
      </c>
      <c r="AC128" s="4" t="inlineStr">
        <is>
          <t>AI 초안 (공식 확인 전)</t>
        </is>
      </c>
      <c r="AD128" s="4" t="inlineStr">
        <is>
          <t>노트·농도 공식 확인 / 국내 정가</t>
        </is>
      </c>
      <c r="AE128" s="6" t="inlineStr">
        <is>
          <t>낮음 (앱에 표시 안 함)</t>
        </is>
      </c>
    </row>
    <row r="129">
      <c r="A129" s="4" t="inlineStr">
        <is>
          <t>hermes-h24</t>
        </is>
      </c>
      <c r="B129" s="4" t="inlineStr">
        <is>
          <t>Hermès</t>
        </is>
      </c>
      <c r="C129" s="5" t="inlineStr">
        <is>
          <t>에르메스</t>
        </is>
      </c>
      <c r="D129" s="4" t="inlineStr">
        <is>
          <t>H24 Eau de Toilette</t>
        </is>
      </c>
      <c r="E129" s="5" t="inlineStr">
        <is>
          <t>H24 오 드 뚜왈렛</t>
        </is>
      </c>
      <c r="F129" s="5" t="inlineStr">
        <is>
          <t>EDT</t>
        </is>
      </c>
      <c r="G129" s="5" t="inlineStr">
        <is>
          <t>Clary Sage, Rosewood</t>
        </is>
      </c>
      <c r="H129" s="5" t="inlineStr">
        <is>
          <t>Orchid, Magnolia</t>
        </is>
      </c>
      <c r="I129" s="5" t="inlineStr">
        <is>
          <t>Musk, Amberwood</t>
        </is>
      </c>
      <c r="J129" s="6" t="n"/>
      <c r="K129" s="5" t="inlineStr">
        <is>
          <t>green</t>
        </is>
      </c>
      <c r="L129" s="5" t="inlineStr">
        <is>
          <t>aromatic, woody</t>
        </is>
      </c>
      <c r="M129" s="5" t="inlineStr">
        <is>
          <t>fresh, clean, cool</t>
        </is>
      </c>
      <c r="N129" s="5" t="n"/>
      <c r="O129" s="5" t="inlineStr">
        <is>
          <t>medium</t>
        </is>
      </c>
      <c r="P129" s="5" t="inlineStr">
        <is>
          <t>mid</t>
        </is>
      </c>
      <c r="Q129" s="5" t="inlineStr">
        <is>
          <t>사계절 · 출근</t>
        </is>
      </c>
      <c r="R129" s="5" t="inlineStr">
        <is>
          <t>클라리세이지가 차분하게 퍼지는 모던한 향</t>
        </is>
      </c>
      <c r="S129" s="5" t="inlineStr">
        <is>
          <t>몇 시간 뒤엔 깔끔한 머스크와 나무 향이 남아요</t>
        </is>
      </c>
      <c r="T129" s="5" t="inlineStr">
        <is>
          <t>세이지의 풀 향과 금속 같은 차가운 느낌이 어떤지 맡아보세요</t>
        </is>
      </c>
      <c r="U129" s="6" t="n">
        <v>30</v>
      </c>
      <c r="V129" s="6" t="n">
        <v>115000</v>
      </c>
      <c r="W129" s="6" t="inlineStr">
        <is>
          <t>2026-10-08</t>
        </is>
      </c>
      <c r="X129" s="6" t="inlineStr">
        <is>
          <t>https://www.hermes.com/kr/ko/product/h24-%EC%98%A4-%EB%93%9C-%EB%9A%9C%EC%99%88%EB%A0%9B-V107333V0/</t>
        </is>
      </c>
      <c r="Y129" s="4" t="inlineStr">
        <is>
          <t>에르메스 백화점</t>
        </is>
      </c>
      <c r="Z129" s="6" t="inlineStr">
        <is>
          <t>면세점</t>
        </is>
      </c>
      <c r="AA129" s="6" t="inlineStr">
        <is>
          <t>hermes-h24.jpg</t>
        </is>
      </c>
      <c r="AB129" s="6" t="inlineStr">
        <is>
          <t>https://www.hermes.com/kr/ko/product/h24-%EC%98%A4-%EB%93%9C-%EB%9A%9C%EC%99%88%EB%A0%9B-V107333V0/</t>
        </is>
      </c>
      <c r="AC129" s="4" t="inlineStr">
        <is>
          <t>AI 초안 (공식 확인 전)</t>
        </is>
      </c>
      <c r="AD129" s="4" t="inlineStr">
        <is>
          <t>노트·농도 공식 확인</t>
        </is>
      </c>
      <c r="AE129" s="6" t="inlineStr">
        <is>
          <t>낮음 (앱에 표시 안 함)</t>
        </is>
      </c>
    </row>
    <row r="130">
      <c r="A130" s="4" t="inlineStr">
        <is>
          <t>hermes-eau-d-orange-verte</t>
        </is>
      </c>
      <c r="B130" s="4" t="inlineStr">
        <is>
          <t>Hermès</t>
        </is>
      </c>
      <c r="C130" s="5" t="inlineStr">
        <is>
          <t>에르메스</t>
        </is>
      </c>
      <c r="D130" s="4" t="inlineStr">
        <is>
          <t>Eau d'Orange Verte</t>
        </is>
      </c>
      <c r="E130" s="5" t="inlineStr">
        <is>
          <t>오 도랑주 베르트</t>
        </is>
      </c>
      <c r="F130" s="5" t="inlineStr">
        <is>
          <t>Cologne</t>
        </is>
      </c>
      <c r="G130" s="5" t="inlineStr">
        <is>
          <t>Orange, Mint, Lemon</t>
        </is>
      </c>
      <c r="H130" s="5" t="inlineStr">
        <is>
          <t>Jasmine, Rosemary</t>
        </is>
      </c>
      <c r="I130" s="5" t="inlineStr">
        <is>
          <t>Oakmoss, Musk</t>
        </is>
      </c>
      <c r="J130" s="6" t="n"/>
      <c r="K130" s="5" t="inlineStr">
        <is>
          <t>citrus</t>
        </is>
      </c>
      <c r="L130" s="5" t="inlineStr">
        <is>
          <t>aromatic</t>
        </is>
      </c>
      <c r="M130" s="5" t="inlineStr">
        <is>
          <t>fresh, zesty, cool, clean</t>
        </is>
      </c>
      <c r="N130" s="5" t="n"/>
      <c r="O130" s="5" t="inlineStr">
        <is>
          <t>light</t>
        </is>
      </c>
      <c r="P130" s="5" t="inlineStr">
        <is>
          <t>low</t>
        </is>
      </c>
      <c r="Q130" s="5" t="inlineStr">
        <is>
          <t>봄·여름 · 출근</t>
        </is>
      </c>
      <c r="R130" s="5" t="inlineStr">
        <is>
          <t>초록빛 오렌지와 허브가 상쾌한 코롱</t>
        </is>
      </c>
      <c r="S130" s="5" t="inlineStr">
        <is>
          <t>몇 시간 뒤엔 가벼운 이끼와 머스크가 남아요</t>
        </is>
      </c>
      <c r="T130" s="5" t="inlineStr">
        <is>
          <t>오렌지 껍질의 쌉쌀한 초록 느낌이 마음에 드는지 맡아보세요</t>
        </is>
      </c>
      <c r="U130" s="6" t="n">
        <v>100</v>
      </c>
      <c r="V130" s="6" t="n">
        <v>195000</v>
      </c>
      <c r="W130" s="6" t="inlineStr">
        <is>
          <t>2026-10-08</t>
        </is>
      </c>
      <c r="X130" s="6" t="inlineStr">
        <is>
          <t>https://www.hermes.com/kr/ko/category/fragrances/women/</t>
        </is>
      </c>
      <c r="Y130" s="4" t="inlineStr">
        <is>
          <t>에르메스 백화점</t>
        </is>
      </c>
      <c r="Z130" s="6" t="inlineStr">
        <is>
          <t>면세점</t>
        </is>
      </c>
      <c r="AA130" s="6" t="inlineStr">
        <is>
          <t>hermes-eau-d-orange-verte.jpg</t>
        </is>
      </c>
      <c r="AB130" s="6" t="inlineStr">
        <is>
          <t>https://www.hermes.com/kr/ko/category/fragrances/women/</t>
        </is>
      </c>
      <c r="AC130" s="4" t="inlineStr">
        <is>
          <t>AI 초안 (공식 확인 전)</t>
        </is>
      </c>
      <c r="AD130" s="4" t="inlineStr">
        <is>
          <t>노트·농도 공식 확인</t>
        </is>
      </c>
      <c r="AE130" s="6" t="inlineStr">
        <is>
          <t>낮음 (앱에 표시 안 함)</t>
        </is>
      </c>
    </row>
    <row r="131">
      <c r="A131" s="4" t="inlineStr">
        <is>
          <t>armani-code-men</t>
        </is>
      </c>
      <c r="B131" s="4" t="inlineStr">
        <is>
          <t>Giorgio Armani</t>
        </is>
      </c>
      <c r="C131" s="5" t="inlineStr">
        <is>
          <t>조르지오 아르마니</t>
        </is>
      </c>
      <c r="D131" s="4" t="inlineStr">
        <is>
          <t>Armani Code (men)</t>
        </is>
      </c>
      <c r="E131" s="5" t="inlineStr">
        <is>
          <t>아르마니 코드 (맨)</t>
        </is>
      </c>
      <c r="F131" s="5" t="inlineStr">
        <is>
          <t>EDT</t>
        </is>
      </c>
      <c r="G131" s="5" t="inlineStr">
        <is>
          <t>Bergamot, Lemon</t>
        </is>
      </c>
      <c r="H131" s="5" t="inlineStr">
        <is>
          <t>Orange Blossom, Guaiac Wood</t>
        </is>
      </c>
      <c r="I131" s="5" t="inlineStr">
        <is>
          <t>Leather, Tobacco Leaf, Tonka Bean</t>
        </is>
      </c>
      <c r="J131" s="6" t="n"/>
      <c r="K131" s="5" t="inlineStr">
        <is>
          <t>woody</t>
        </is>
      </c>
      <c r="L131" s="5" t="inlineStr">
        <is>
          <t>spicy</t>
        </is>
      </c>
      <c r="M131" s="5" t="inlineStr">
        <is>
          <t>sensual, warm, elegant, deep</t>
        </is>
      </c>
      <c r="N131" s="5" t="n"/>
      <c r="O131" s="5" t="inlineStr">
        <is>
          <t>medium</t>
        </is>
      </c>
      <c r="P131" s="5" t="inlineStr">
        <is>
          <t>mid</t>
        </is>
      </c>
      <c r="Q131" s="5" t="inlineStr">
        <is>
          <t>가을·겨울 · 데이트</t>
        </is>
      </c>
      <c r="R131" s="5" t="inlineStr">
        <is>
          <t>시트러스 위에 가죽과 달콤한 우디가 깔리는 향</t>
        </is>
      </c>
      <c r="S131" s="5" t="inlineStr">
        <is>
          <t>몇 시간 뒤엔 부드러운 가죽과 톤카빈이 남아요</t>
        </is>
      </c>
      <c r="T131" s="5" t="inlineStr">
        <is>
          <t>처음의 레몬 향이 가죽과 톤카빈의 포근함으로 이어지는지 맡아보세요</t>
        </is>
      </c>
      <c r="U131" s="6" t="n"/>
      <c r="V131" s="6" t="n"/>
      <c r="W131" s="6" t="n"/>
      <c r="X131" s="6" t="n"/>
      <c r="Y131" s="4" t="inlineStr">
        <is>
          <t>조르지오 아르마니 백화점</t>
        </is>
      </c>
      <c r="Z131" s="6" t="inlineStr">
        <is>
          <t>면세점</t>
        </is>
      </c>
      <c r="AA131" s="6" t="n"/>
      <c r="AB131" s="6" t="n"/>
      <c r="AC131" s="4" t="inlineStr">
        <is>
          <t>AI 초안 (공식 확인 전)</t>
        </is>
      </c>
      <c r="AD131" s="4" t="inlineStr">
        <is>
          <t>노트·농도 공식 확인 / 국내 정가 / 이미지</t>
        </is>
      </c>
      <c r="AE131" s="6" t="inlineStr">
        <is>
          <t>낮음 (앱에 표시 안 함)</t>
        </is>
      </c>
    </row>
    <row r="132">
      <c r="A132" s="4" t="inlineStr">
        <is>
          <t>armani-acqua-di-gioia</t>
        </is>
      </c>
      <c r="B132" s="4" t="inlineStr">
        <is>
          <t>Giorgio Armani</t>
        </is>
      </c>
      <c r="C132" s="5" t="inlineStr">
        <is>
          <t>조르지오 아르마니</t>
        </is>
      </c>
      <c r="D132" s="4" t="inlineStr">
        <is>
          <t>Acqua di Gioia</t>
        </is>
      </c>
      <c r="E132" s="5" t="inlineStr">
        <is>
          <t>아쿠아 디 지오이아</t>
        </is>
      </c>
      <c r="F132" s="5" t="inlineStr">
        <is>
          <t>EDP</t>
        </is>
      </c>
      <c r="G132" s="5" t="inlineStr">
        <is>
          <t>Mint, Lemon, Pink Pepper</t>
        </is>
      </c>
      <c r="H132" s="5" t="inlineStr">
        <is>
          <t>Jasmine, Peony</t>
        </is>
      </c>
      <c r="I132" s="5" t="inlineStr">
        <is>
          <t>Cedar, Musk</t>
        </is>
      </c>
      <c r="J132" s="6" t="n"/>
      <c r="K132" s="5" t="inlineStr">
        <is>
          <t>aqua</t>
        </is>
      </c>
      <c r="L132" s="5" t="inlineStr">
        <is>
          <t>citrus</t>
        </is>
      </c>
      <c r="M132" s="5" t="inlineStr">
        <is>
          <t>fresh, clean, lovely, cool</t>
        </is>
      </c>
      <c r="N132" s="5" t="n"/>
      <c r="O132" s="5" t="inlineStr">
        <is>
          <t>light</t>
        </is>
      </c>
      <c r="P132" s="5" t="inlineStr">
        <is>
          <t>low</t>
        </is>
      </c>
      <c r="Q132" s="5" t="inlineStr">
        <is>
          <t>봄·여름 · 출근</t>
        </is>
      </c>
      <c r="R132" s="5" t="inlineStr">
        <is>
          <t>민트와 레몬이 청량하게 이어지는 가벼운 향</t>
        </is>
      </c>
      <c r="S132" s="5" t="inlineStr">
        <is>
          <t>몇 시간 뒤엔 보송한 머스크와 나무 향이 가볍게 남아요</t>
        </is>
      </c>
      <c r="T132" s="5" t="inlineStr">
        <is>
          <t>민트의 시원함 뒤에 자스민이 부드럽게 올라오는지 맡아보세요</t>
        </is>
      </c>
      <c r="U132" s="6" t="n"/>
      <c r="V132" s="6" t="n"/>
      <c r="W132" s="6" t="n"/>
      <c r="X132" s="6" t="n"/>
      <c r="Y132" s="4" t="inlineStr">
        <is>
          <t>조르지오 아르마니 백화점</t>
        </is>
      </c>
      <c r="Z132" s="6" t="inlineStr">
        <is>
          <t>면세점</t>
        </is>
      </c>
      <c r="AA132" s="6" t="n"/>
      <c r="AB132" s="6" t="n"/>
      <c r="AC132" s="4" t="inlineStr">
        <is>
          <t>AI 초안 (공식 확인 전)</t>
        </is>
      </c>
      <c r="AD132" s="4" t="inlineStr">
        <is>
          <t>노트·농도 공식 확인 / 국내 정가 / 이미지</t>
        </is>
      </c>
      <c r="AE132" s="6" t="inlineStr">
        <is>
          <t>낮음 (앱에 표시 안 함)</t>
        </is>
      </c>
    </row>
    <row r="133">
      <c r="A133" s="4" t="inlineStr">
        <is>
          <t>armani-stronger-with-you</t>
        </is>
      </c>
      <c r="B133" s="4" t="inlineStr">
        <is>
          <t>Giorgio Armani</t>
        </is>
      </c>
      <c r="C133" s="5" t="inlineStr">
        <is>
          <t>조르지오 아르마니</t>
        </is>
      </c>
      <c r="D133" s="4" t="inlineStr">
        <is>
          <t>Stronger With You</t>
        </is>
      </c>
      <c r="E133" s="5" t="inlineStr">
        <is>
          <t>스트롱거 위드 유</t>
        </is>
      </c>
      <c r="F133" s="5" t="inlineStr">
        <is>
          <t>EDT</t>
        </is>
      </c>
      <c r="G133" s="5" t="inlineStr">
        <is>
          <t>Cardamom, Pink Pepper, Violet Leaf</t>
        </is>
      </c>
      <c r="H133" s="5" t="inlineStr">
        <is>
          <t>Sage, Cinnamon</t>
        </is>
      </c>
      <c r="I133" s="5" t="inlineStr">
        <is>
          <t>Vanilla, Chestnut, Amberwood</t>
        </is>
      </c>
      <c r="J133" s="6" t="n"/>
      <c r="K133" s="5" t="inlineStr">
        <is>
          <t>gourmand</t>
        </is>
      </c>
      <c r="L133" s="5" t="inlineStr">
        <is>
          <t>spicy</t>
        </is>
      </c>
      <c r="M133" s="5" t="inlineStr">
        <is>
          <t>warm, cozy, sweet, sensual</t>
        </is>
      </c>
      <c r="N133" s="5" t="inlineStr">
        <is>
          <t>tooSweet, spicy</t>
        </is>
      </c>
      <c r="O133" s="5" t="inlineStr">
        <is>
          <t>medium</t>
        </is>
      </c>
      <c r="P133" s="5" t="inlineStr">
        <is>
          <t>high</t>
        </is>
      </c>
      <c r="Q133" s="5" t="inlineStr">
        <is>
          <t>가을·겨울 · 데이트</t>
        </is>
      </c>
      <c r="R133" s="5" t="inlineStr">
        <is>
          <t>밤과 바닐라의 달콤함에 향신료를 얹은 향</t>
        </is>
      </c>
      <c r="S133" s="5" t="inlineStr">
        <is>
          <t>몇 시간 뒤엔 따뜻한 바닐라와 밤 향이 남아요</t>
        </is>
      </c>
      <c r="T133" s="5" t="inlineStr">
        <is>
          <t>달콤한 바닐라가 향신료와 어우러져 부담스럽지 않은지 맡아보세요</t>
        </is>
      </c>
      <c r="U133" s="6" t="n"/>
      <c r="V133" s="6" t="n"/>
      <c r="W133" s="6" t="n"/>
      <c r="X133" s="6" t="n"/>
      <c r="Y133" s="4" t="inlineStr">
        <is>
          <t>조르지오 아르마니 백화점</t>
        </is>
      </c>
      <c r="Z133" s="6" t="inlineStr">
        <is>
          <t>면세점</t>
        </is>
      </c>
      <c r="AA133" s="6" t="n"/>
      <c r="AB133" s="6" t="n"/>
      <c r="AC133" s="4" t="inlineStr">
        <is>
          <t>AI 초안 (공식 확인 전)</t>
        </is>
      </c>
      <c r="AD133" s="4" t="inlineStr">
        <is>
          <t>노트·농도 공식 확인 / 국내 정가 / 이미지</t>
        </is>
      </c>
      <c r="AE133" s="6" t="inlineStr">
        <is>
          <t>낮음 (앱에 표시 안 함)</t>
        </is>
      </c>
    </row>
    <row r="134">
      <c r="A134" s="4" t="inlineStr">
        <is>
          <t>bvlgari-man-in-black</t>
        </is>
      </c>
      <c r="B134" s="4" t="inlineStr">
        <is>
          <t>Bvlgari</t>
        </is>
      </c>
      <c r="C134" s="5" t="inlineStr">
        <is>
          <t>불가리</t>
        </is>
      </c>
      <c r="D134" s="4" t="inlineStr">
        <is>
          <t>Man in Black</t>
        </is>
      </c>
      <c r="E134" s="5" t="inlineStr">
        <is>
          <t>맨 인 블랙</t>
        </is>
      </c>
      <c r="F134" s="5" t="inlineStr">
        <is>
          <t>EDP</t>
        </is>
      </c>
      <c r="G134" s="5" t="inlineStr">
        <is>
          <t>Spices, Rum</t>
        </is>
      </c>
      <c r="H134" s="5" t="inlineStr">
        <is>
          <t>Leather, Iris, Tuberose</t>
        </is>
      </c>
      <c r="I134" s="5" t="inlineStr">
        <is>
          <t>Benzoin, Guaiac Wood, Tonka Bean</t>
        </is>
      </c>
      <c r="J134" s="6" t="n"/>
      <c r="K134" s="5" t="inlineStr">
        <is>
          <t>woody</t>
        </is>
      </c>
      <c r="L134" s="5" t="inlineStr">
        <is>
          <t>spicy, leather</t>
        </is>
      </c>
      <c r="M134" s="5" t="inlineStr">
        <is>
          <t>deep, warm, sensual</t>
        </is>
      </c>
      <c r="N134" s="5" t="inlineStr">
        <is>
          <t>smoky, spicy</t>
        </is>
      </c>
      <c r="O134" s="5" t="inlineStr">
        <is>
          <t>strong</t>
        </is>
      </c>
      <c r="P134" s="5" t="inlineStr">
        <is>
          <t>high</t>
        </is>
      </c>
      <c r="Q134" s="5" t="inlineStr">
        <is>
          <t>가을·겨울 · 저녁 모임</t>
        </is>
      </c>
      <c r="R134" s="5" t="inlineStr">
        <is>
          <t>럼과 가죽에 스파이스를 더한 묵직한 향</t>
        </is>
      </c>
      <c r="S134" s="5" t="inlineStr">
        <is>
          <t>몇 시간 뒤엔 따뜻한 벤조인과 우디 향이 남아요</t>
        </is>
      </c>
      <c r="T134" s="5" t="inlineStr">
        <is>
          <t>럼의 달콤함과 가죽 향이 너무 진하게 느껴지지 않는지 맡아보세요</t>
        </is>
      </c>
      <c r="U134" s="6" t="n"/>
      <c r="V134" s="6" t="n"/>
      <c r="W134" s="6" t="n"/>
      <c r="X134" s="6" t="n"/>
      <c r="Y134" s="4" t="inlineStr">
        <is>
          <t>불가리 백화점</t>
        </is>
      </c>
      <c r="Z134" s="6" t="inlineStr">
        <is>
          <t>백화점</t>
        </is>
      </c>
      <c r="AA134" s="6" t="n"/>
      <c r="AB134" s="6" t="n"/>
      <c r="AC134" s="4" t="inlineStr">
        <is>
          <t>AI 초안 (공식 확인 전)</t>
        </is>
      </c>
      <c r="AD134" s="4" t="inlineStr">
        <is>
          <t>노트·농도 공식 확인 / 국내 정가 / 이미지</t>
        </is>
      </c>
      <c r="AE134" s="6" t="inlineStr">
        <is>
          <t>보통 (앱에 표시)</t>
        </is>
      </c>
    </row>
    <row r="135">
      <c r="A135" s="4" t="inlineStr">
        <is>
          <t>bvlgari-aqva-pour-homme</t>
        </is>
      </c>
      <c r="B135" s="4" t="inlineStr">
        <is>
          <t>Bvlgari</t>
        </is>
      </c>
      <c r="C135" s="5" t="inlineStr">
        <is>
          <t>불가리</t>
        </is>
      </c>
      <c r="D135" s="4" t="inlineStr">
        <is>
          <t>Aqva Pour Homme</t>
        </is>
      </c>
      <c r="E135" s="5" t="inlineStr">
        <is>
          <t>아쿠아 푸르 옴므</t>
        </is>
      </c>
      <c r="F135" s="5" t="inlineStr">
        <is>
          <t>EDT</t>
        </is>
      </c>
      <c r="G135" s="5" t="inlineStr">
        <is>
          <t>Sea Notes, Bergamot, Mandarin</t>
        </is>
      </c>
      <c r="H135" s="5" t="inlineStr">
        <is>
          <t>Lavender, Geranium</t>
        </is>
      </c>
      <c r="I135" s="5" t="inlineStr">
        <is>
          <t>Musk, Amber</t>
        </is>
      </c>
      <c r="J135" s="6" t="n"/>
      <c r="K135" s="5" t="inlineStr">
        <is>
          <t>aqua</t>
        </is>
      </c>
      <c r="L135" s="5" t="inlineStr">
        <is>
          <t>aromatic</t>
        </is>
      </c>
      <c r="M135" s="5" t="inlineStr">
        <is>
          <t>fresh, cool, clean</t>
        </is>
      </c>
      <c r="N135" s="5" t="n"/>
      <c r="O135" s="5" t="inlineStr">
        <is>
          <t>medium</t>
        </is>
      </c>
      <c r="P135" s="5" t="inlineStr">
        <is>
          <t>low</t>
        </is>
      </c>
      <c r="Q135" s="5" t="inlineStr">
        <is>
          <t>봄·여름 · 운동·휴가</t>
        </is>
      </c>
      <c r="R135" s="5" t="inlineStr">
        <is>
          <t>바다 내음과 시트러스가 시원한 아쿠아 향</t>
        </is>
      </c>
      <c r="S135" s="5" t="inlineStr">
        <is>
          <t>몇 시간 뒤엔 깨끗한 머스크가 가볍게 남아요</t>
        </is>
      </c>
      <c r="T135" s="5" t="inlineStr">
        <is>
          <t>바다 같은 청량함이 라벤더와 만나 어떻게 변하는지 맡아보세요</t>
        </is>
      </c>
      <c r="U135" s="6" t="n"/>
      <c r="V135" s="6" t="n"/>
      <c r="W135" s="6" t="n"/>
      <c r="X135" s="6" t="n"/>
      <c r="Y135" s="4" t="inlineStr">
        <is>
          <t>불가리 백화점</t>
        </is>
      </c>
      <c r="Z135" s="6" t="inlineStr">
        <is>
          <t>백화점</t>
        </is>
      </c>
      <c r="AA135" s="6" t="n"/>
      <c r="AB135" s="6" t="n"/>
      <c r="AC135" s="4" t="inlineStr">
        <is>
          <t>AI 초안 (공식 확인 전)</t>
        </is>
      </c>
      <c r="AD135" s="4" t="inlineStr">
        <is>
          <t>노트·농도 공식 확인 / 국내 정가 / 이미지</t>
        </is>
      </c>
      <c r="AE135" s="6" t="inlineStr">
        <is>
          <t>보통 (앱에 표시)</t>
        </is>
      </c>
    </row>
    <row r="136">
      <c r="A136" s="4" t="inlineStr">
        <is>
          <t>bvlgari-omnia-amethyste</t>
        </is>
      </c>
      <c r="B136" s="4" t="inlineStr">
        <is>
          <t>Bvlgari</t>
        </is>
      </c>
      <c r="C136" s="5" t="inlineStr">
        <is>
          <t>불가리</t>
        </is>
      </c>
      <c r="D136" s="4" t="inlineStr">
        <is>
          <t>Omnia Amethyste</t>
        </is>
      </c>
      <c r="E136" s="5" t="inlineStr">
        <is>
          <t>옴니아 아메시스트</t>
        </is>
      </c>
      <c r="F136" s="5" t="inlineStr">
        <is>
          <t>EDT</t>
        </is>
      </c>
      <c r="G136" s="5" t="inlineStr">
        <is>
          <t>Pink Pepper, Bergamot</t>
        </is>
      </c>
      <c r="H136" s="5" t="inlineStr">
        <is>
          <t>Iris, Rose</t>
        </is>
      </c>
      <c r="I136" s="5" t="inlineStr">
        <is>
          <t>Sandalwood, Musk</t>
        </is>
      </c>
      <c r="J136" s="6" t="n"/>
      <c r="K136" s="5" t="inlineStr">
        <is>
          <t>floral</t>
        </is>
      </c>
      <c r="L136" s="5" t="inlineStr">
        <is>
          <t>powdery</t>
        </is>
      </c>
      <c r="M136" s="5" t="inlineStr">
        <is>
          <t>soft, elegant, lovely</t>
        </is>
      </c>
      <c r="N136" s="5" t="inlineStr">
        <is>
          <t>powdery</t>
        </is>
      </c>
      <c r="O136" s="5" t="inlineStr">
        <is>
          <t>light</t>
        </is>
      </c>
      <c r="P136" s="5" t="inlineStr">
        <is>
          <t>low</t>
        </is>
      </c>
      <c r="Q136" s="5" t="inlineStr">
        <is>
          <t>봄·가을 · 출근</t>
        </is>
      </c>
      <c r="R136" s="5" t="inlineStr">
        <is>
          <t>아이리스와 장미가 보송하게 감싸는 부드러운 향</t>
        </is>
      </c>
      <c r="S136" s="5" t="inlineStr">
        <is>
          <t>몇 시간 뒤엔 보송한 우디 머스크가 남아요</t>
        </is>
      </c>
      <c r="T136" s="5" t="inlineStr">
        <is>
          <t>아이리스의 파우더리함이 부드럽게 느껴지는지 맡아보세요</t>
        </is>
      </c>
      <c r="U136" s="6" t="n"/>
      <c r="V136" s="6" t="n"/>
      <c r="W136" s="6" t="n"/>
      <c r="X136" s="6" t="n"/>
      <c r="Y136" s="4" t="inlineStr">
        <is>
          <t>불가리 백화점</t>
        </is>
      </c>
      <c r="Z136" s="6" t="inlineStr">
        <is>
          <t>백화점</t>
        </is>
      </c>
      <c r="AA136" s="6" t="n"/>
      <c r="AB136" s="6" t="n"/>
      <c r="AC136" s="4" t="inlineStr">
        <is>
          <t>AI 초안 (공식 확인 전)</t>
        </is>
      </c>
      <c r="AD136" s="4" t="inlineStr">
        <is>
          <t>노트·농도 공식 확인 / 국내 정가 / 이미지</t>
        </is>
      </c>
      <c r="AE136" s="6" t="inlineStr">
        <is>
          <t>보통 (앱에 표시)</t>
        </is>
      </c>
    </row>
    <row r="137">
      <c r="A137" s="4" t="inlineStr">
        <is>
          <t>bvlgari-rose-goldea</t>
        </is>
      </c>
      <c r="B137" s="4" t="inlineStr">
        <is>
          <t>Bvlgari</t>
        </is>
      </c>
      <c r="C137" s="5" t="inlineStr">
        <is>
          <t>불가리</t>
        </is>
      </c>
      <c r="D137" s="4" t="inlineStr">
        <is>
          <t>Rose Goldea</t>
        </is>
      </c>
      <c r="E137" s="5" t="inlineStr">
        <is>
          <t>로즈 골데아</t>
        </is>
      </c>
      <c r="F137" s="5" t="inlineStr">
        <is>
          <t>EDP</t>
        </is>
      </c>
      <c r="G137" s="5" t="inlineStr">
        <is>
          <t>Pomegranate, Pink Pepper</t>
        </is>
      </c>
      <c r="H137" s="5" t="inlineStr">
        <is>
          <t>Damask Rose, Lotus</t>
        </is>
      </c>
      <c r="I137" s="5" t="inlineStr">
        <is>
          <t>Musk, Sandalwood, Amber</t>
        </is>
      </c>
      <c r="J137" s="6" t="n"/>
      <c r="K137" s="5" t="inlineStr">
        <is>
          <t>floral</t>
        </is>
      </c>
      <c r="L137" s="5" t="inlineStr">
        <is>
          <t>amber</t>
        </is>
      </c>
      <c r="M137" s="5" t="inlineStr">
        <is>
          <t>elegant, sensual, warm</t>
        </is>
      </c>
      <c r="N137" s="5" t="inlineStr">
        <is>
          <t>heavyFloral</t>
        </is>
      </c>
      <c r="O137" s="5" t="inlineStr">
        <is>
          <t>medium</t>
        </is>
      </c>
      <c r="P137" s="5" t="inlineStr">
        <is>
          <t>mid</t>
        </is>
      </c>
      <c r="Q137" s="5" t="inlineStr">
        <is>
          <t>가을·겨울 · 데이트</t>
        </is>
      </c>
      <c r="R137" s="5" t="inlineStr">
        <is>
          <t>장미에 따뜻한 머스크를 입힌 우아한 꽃 향</t>
        </is>
      </c>
      <c r="S137" s="5" t="inlineStr">
        <is>
          <t>몇 시간 뒤엔 포근한 머스크와 앰버가 남아요</t>
        </is>
      </c>
      <c r="T137" s="5" t="inlineStr">
        <is>
          <t>장미의 풍성함이 머스크와 어우러지는 느낌이 맞는지 맡아보세요</t>
        </is>
      </c>
      <c r="U137" s="6" t="n"/>
      <c r="V137" s="6" t="n"/>
      <c r="W137" s="6" t="n"/>
      <c r="X137" s="6" t="n"/>
      <c r="Y137" s="4" t="inlineStr">
        <is>
          <t>불가리 백화점</t>
        </is>
      </c>
      <c r="Z137" s="6" t="inlineStr">
        <is>
          <t>백화점</t>
        </is>
      </c>
      <c r="AA137" s="6" t="n"/>
      <c r="AB137" s="6" t="n"/>
      <c r="AC137" s="4" t="inlineStr">
        <is>
          <t>AI 초안 (공식 확인 전)</t>
        </is>
      </c>
      <c r="AD137" s="4" t="inlineStr">
        <is>
          <t>노트·농도 공식 확인 / 국내 정가 / 이미지</t>
        </is>
      </c>
      <c r="AE137" s="6" t="inlineStr">
        <is>
          <t>보통 (앱에 표시)</t>
        </is>
      </c>
    </row>
    <row r="138">
      <c r="A138" s="4" t="inlineStr">
        <is>
          <t>prada-luna-rossa-carbon</t>
        </is>
      </c>
      <c r="B138" s="4" t="inlineStr">
        <is>
          <t>Prada</t>
        </is>
      </c>
      <c r="C138" s="5" t="inlineStr">
        <is>
          <t>프라다</t>
        </is>
      </c>
      <c r="D138" s="4" t="inlineStr">
        <is>
          <t>Luna Rossa Carbon</t>
        </is>
      </c>
      <c r="E138" s="5" t="inlineStr">
        <is>
          <t>루나 로사 카본</t>
        </is>
      </c>
      <c r="F138" s="5" t="inlineStr">
        <is>
          <t>EDT</t>
        </is>
      </c>
      <c r="G138" s="5" t="inlineStr">
        <is>
          <t>Bergamot, Pepper</t>
        </is>
      </c>
      <c r="H138" s="5" t="inlineStr">
        <is>
          <t>Lavender, Mint</t>
        </is>
      </c>
      <c r="I138" s="5" t="inlineStr">
        <is>
          <t>Ambroxan, Patchouli</t>
        </is>
      </c>
      <c r="J138" s="6" t="n"/>
      <c r="K138" s="5" t="inlineStr">
        <is>
          <t>aromatic</t>
        </is>
      </c>
      <c r="L138" s="5" t="inlineStr">
        <is>
          <t>woody</t>
        </is>
      </c>
      <c r="M138" s="5" t="inlineStr">
        <is>
          <t>cool, clean, fresh, calm</t>
        </is>
      </c>
      <c r="N138" s="5" t="n"/>
      <c r="O138" s="5" t="inlineStr">
        <is>
          <t>medium</t>
        </is>
      </c>
      <c r="P138" s="5" t="inlineStr">
        <is>
          <t>low</t>
        </is>
      </c>
      <c r="Q138" s="5" t="inlineStr">
        <is>
          <t>사계절 · 출근·운동</t>
        </is>
      </c>
      <c r="R138" s="5" t="inlineStr">
        <is>
          <t>라벤더와 금속성 우디가 깔끔한 모던한 향</t>
        </is>
      </c>
      <c r="S138" s="5" t="inlineStr">
        <is>
          <t>몇 시간 뒤엔 건조한 우디 앰브록산이 남아요</t>
        </is>
      </c>
      <c r="T138" s="5" t="inlineStr">
        <is>
          <t>라벤더 뒤에 차갑고 건조한 우디 느낌이 오는지 맡아보세요</t>
        </is>
      </c>
      <c r="U138" s="6" t="n"/>
      <c r="V138" s="6" t="n"/>
      <c r="W138" s="6" t="n"/>
      <c r="X138" s="6" t="n"/>
      <c r="Y138" s="4" t="inlineStr">
        <is>
          <t>프라다 백화점</t>
        </is>
      </c>
      <c r="Z138" s="6" t="inlineStr">
        <is>
          <t>백화점</t>
        </is>
      </c>
      <c r="AA138" s="6" t="n"/>
      <c r="AB138" s="6" t="n"/>
      <c r="AC138" s="4" t="inlineStr">
        <is>
          <t>AI 초안 (공식 확인 전)</t>
        </is>
      </c>
      <c r="AD138" s="4" t="inlineStr">
        <is>
          <t>노트·농도 공식 확인 / 국내 정가 / 이미지</t>
        </is>
      </c>
      <c r="AE138" s="6" t="inlineStr">
        <is>
          <t>낮음 (앱에 표시 안 함)</t>
        </is>
      </c>
    </row>
    <row r="139">
      <c r="A139" s="4" t="inlineStr">
        <is>
          <t>prada-paradoxe</t>
        </is>
      </c>
      <c r="B139" s="4" t="inlineStr">
        <is>
          <t>Prada</t>
        </is>
      </c>
      <c r="C139" s="5" t="inlineStr">
        <is>
          <t>프라다</t>
        </is>
      </c>
      <c r="D139" s="4" t="inlineStr">
        <is>
          <t>Paradoxe</t>
        </is>
      </c>
      <c r="E139" s="5" t="inlineStr">
        <is>
          <t>파라독스</t>
        </is>
      </c>
      <c r="F139" s="5" t="inlineStr">
        <is>
          <t>EDP</t>
        </is>
      </c>
      <c r="G139" s="5" t="inlineStr">
        <is>
          <t>Neroli, Pear, Bergamot</t>
        </is>
      </c>
      <c r="H139" s="5" t="inlineStr">
        <is>
          <t>Jasmine</t>
        </is>
      </c>
      <c r="I139" s="5" t="inlineStr">
        <is>
          <t>Amber, Musk</t>
        </is>
      </c>
      <c r="J139" s="6" t="n"/>
      <c r="K139" s="5" t="inlineStr">
        <is>
          <t>whiteFloral</t>
        </is>
      </c>
      <c r="L139" s="5" t="inlineStr">
        <is>
          <t>musk</t>
        </is>
      </c>
      <c r="M139" s="5" t="inlineStr">
        <is>
          <t>clean, elegant, soft, lovely</t>
        </is>
      </c>
      <c r="N139" s="5" t="n"/>
      <c r="O139" s="5" t="inlineStr">
        <is>
          <t>medium</t>
        </is>
      </c>
      <c r="P139" s="5" t="inlineStr">
        <is>
          <t>low</t>
        </is>
      </c>
      <c r="Q139" s="5" t="inlineStr">
        <is>
          <t>사계절 · 출근·데이트</t>
        </is>
      </c>
      <c r="R139" s="5" t="inlineStr">
        <is>
          <t>네롤리와 자스민에 앰버가 은은히 닿는 향</t>
        </is>
      </c>
      <c r="S139" s="5" t="inlineStr">
        <is>
          <t>몇 시간 뒤엔 부드러운 앰버 머스크가 남아요</t>
        </is>
      </c>
      <c r="T139" s="5" t="inlineStr">
        <is>
          <t>밝은 꽃 향이 앰버 머스크로 부드럽게 이어지는지 맡아보세요</t>
        </is>
      </c>
      <c r="U139" s="6" t="n"/>
      <c r="V139" s="6" t="n"/>
      <c r="W139" s="6" t="n"/>
      <c r="X139" s="6" t="n"/>
      <c r="Y139" s="4" t="inlineStr">
        <is>
          <t>프라다 백화점</t>
        </is>
      </c>
      <c r="Z139" s="6" t="inlineStr">
        <is>
          <t>백화점</t>
        </is>
      </c>
      <c r="AA139" s="6" t="n"/>
      <c r="AB139" s="6" t="n"/>
      <c r="AC139" s="4" t="inlineStr">
        <is>
          <t>AI 초안 (공식 확인 전)</t>
        </is>
      </c>
      <c r="AD139" s="4" t="inlineStr">
        <is>
          <t>노트·농도 공식 확인 / 국내 정가 / 이미지</t>
        </is>
      </c>
      <c r="AE139" s="6" t="inlineStr">
        <is>
          <t>낮음 (앱에 표시 안 함)</t>
        </is>
      </c>
    </row>
    <row r="140">
      <c r="A140" s="4" t="inlineStr">
        <is>
          <t>prada-l-homme</t>
        </is>
      </c>
      <c r="B140" s="4" t="inlineStr">
        <is>
          <t>Prada</t>
        </is>
      </c>
      <c r="C140" s="5" t="inlineStr">
        <is>
          <t>프라다</t>
        </is>
      </c>
      <c r="D140" s="4" t="inlineStr">
        <is>
          <t>L'Homme</t>
        </is>
      </c>
      <c r="E140" s="5" t="inlineStr">
        <is>
          <t>로움</t>
        </is>
      </c>
      <c r="F140" s="5" t="inlineStr">
        <is>
          <t>EDT</t>
        </is>
      </c>
      <c r="G140" s="5" t="inlineStr">
        <is>
          <t>Neroli, Pepper</t>
        </is>
      </c>
      <c r="H140" s="5" t="inlineStr">
        <is>
          <t>Iris, Violet</t>
        </is>
      </c>
      <c r="I140" s="5" t="inlineStr">
        <is>
          <t>Amber, Patchouli, Cedar</t>
        </is>
      </c>
      <c r="J140" s="6" t="n"/>
      <c r="K140" s="5" t="inlineStr">
        <is>
          <t>powdery</t>
        </is>
      </c>
      <c r="L140" s="5" t="inlineStr">
        <is>
          <t>woody</t>
        </is>
      </c>
      <c r="M140" s="5" t="inlineStr">
        <is>
          <t>clean, soft, elegant, calm</t>
        </is>
      </c>
      <c r="N140" s="5" t="inlineStr">
        <is>
          <t>powdery</t>
        </is>
      </c>
      <c r="O140" s="5" t="inlineStr">
        <is>
          <t>medium</t>
        </is>
      </c>
      <c r="P140" s="5" t="inlineStr">
        <is>
          <t>low</t>
        </is>
      </c>
      <c r="Q140" s="5" t="inlineStr">
        <is>
          <t>사계절 · 출근</t>
        </is>
      </c>
      <c r="R140" s="5" t="inlineStr">
        <is>
          <t>아이리스의 보송함이 중심인 단정한 남성 향</t>
        </is>
      </c>
      <c r="S140" s="5" t="inlineStr">
        <is>
          <t>몇 시간 뒤엔 부드러운 앰버와 나무 향이 남아요</t>
        </is>
      </c>
      <c r="T140" s="5" t="inlineStr">
        <is>
          <t>아이리스의 파우더리함이 깔끔하게 느껴지는지 맡아보세요</t>
        </is>
      </c>
      <c r="U140" s="6" t="n"/>
      <c r="V140" s="6" t="n"/>
      <c r="W140" s="6" t="n"/>
      <c r="X140" s="6" t="n"/>
      <c r="Y140" s="4" t="inlineStr">
        <is>
          <t>프라다 백화점</t>
        </is>
      </c>
      <c r="Z140" s="6" t="inlineStr">
        <is>
          <t>백화점</t>
        </is>
      </c>
      <c r="AA140" s="6" t="n"/>
      <c r="AB140" s="6" t="n"/>
      <c r="AC140" s="4" t="inlineStr">
        <is>
          <t>AI 초안 (공식 확인 전)</t>
        </is>
      </c>
      <c r="AD140" s="4" t="inlineStr">
        <is>
          <t>노트·농도 공식 확인 / 국내 정가 / 이미지</t>
        </is>
      </c>
      <c r="AE140" s="6" t="inlineStr">
        <is>
          <t>낮음 (앱에 표시 안 함)</t>
        </is>
      </c>
    </row>
    <row r="141">
      <c r="A141" s="4" t="inlineStr">
        <is>
          <t>lancome-tresor</t>
        </is>
      </c>
      <c r="B141" s="4" t="inlineStr">
        <is>
          <t>Lancôme</t>
        </is>
      </c>
      <c r="C141" s="5" t="inlineStr">
        <is>
          <t>랑콤</t>
        </is>
      </c>
      <c r="D141" s="4" t="inlineStr">
        <is>
          <t>Trésor</t>
        </is>
      </c>
      <c r="E141" s="5" t="inlineStr">
        <is>
          <t>트레조</t>
        </is>
      </c>
      <c r="F141" s="5" t="inlineStr">
        <is>
          <t>EDP</t>
        </is>
      </c>
      <c r="G141" s="5" t="inlineStr">
        <is>
          <t>Peach, Rose, Lilac</t>
        </is>
      </c>
      <c r="H141" s="5" t="inlineStr">
        <is>
          <t>Iris, Jasmine</t>
        </is>
      </c>
      <c r="I141" s="5" t="inlineStr">
        <is>
          <t>Amber, Musk, Sandalwood</t>
        </is>
      </c>
      <c r="J141" s="6" t="n"/>
      <c r="K141" s="5" t="inlineStr">
        <is>
          <t>floral</t>
        </is>
      </c>
      <c r="L141" s="5" t="inlineStr">
        <is>
          <t>powdery</t>
        </is>
      </c>
      <c r="M141" s="5" t="inlineStr">
        <is>
          <t>lovely, soft, elegant, warm</t>
        </is>
      </c>
      <c r="N141" s="5" t="inlineStr">
        <is>
          <t>powdery</t>
        </is>
      </c>
      <c r="O141" s="5" t="inlineStr">
        <is>
          <t>medium</t>
        </is>
      </c>
      <c r="P141" s="5" t="inlineStr">
        <is>
          <t>mid</t>
        </is>
      </c>
      <c r="Q141" s="5" t="inlineStr">
        <is>
          <t>사계절 · 데이트</t>
        </is>
      </c>
      <c r="R141" s="5" t="inlineStr">
        <is>
          <t>복숭아와 장미가 파우더리하게 퍼지는 클래식 꽃 향</t>
        </is>
      </c>
      <c r="S141" s="5" t="inlineStr">
        <is>
          <t>몇 시간 뒤엔 포근한 앰버와 머스크가 남아요</t>
        </is>
      </c>
      <c r="T141" s="5" t="inlineStr">
        <is>
          <t>장미와 복숭아의 달콤함이 파우더리하게 이어지는지 맡아보세요</t>
        </is>
      </c>
      <c r="U141" s="6" t="n"/>
      <c r="V141" s="6" t="n"/>
      <c r="W141" s="6" t="n"/>
      <c r="X141" s="6" t="n"/>
      <c r="Y141" s="4" t="inlineStr">
        <is>
          <t>랑콤 백화점</t>
        </is>
      </c>
      <c r="Z141" s="6" t="inlineStr">
        <is>
          <t>백화점</t>
        </is>
      </c>
      <c r="AA141" s="6" t="n"/>
      <c r="AB141" s="6" t="n"/>
      <c r="AC141" s="4" t="inlineStr">
        <is>
          <t>AI 초안 (공식 확인 전)</t>
        </is>
      </c>
      <c r="AD141" s="4" t="inlineStr">
        <is>
          <t>노트·농도 공식 확인 / 국내 정가 / 이미지</t>
        </is>
      </c>
      <c r="AE141" s="6" t="inlineStr">
        <is>
          <t>보통 (앱에 표시)</t>
        </is>
      </c>
    </row>
    <row r="142">
      <c r="A142" s="4" t="inlineStr">
        <is>
          <t>gucci-flora-gorgeous-gardenia</t>
        </is>
      </c>
      <c r="B142" s="4" t="inlineStr">
        <is>
          <t>Gucci</t>
        </is>
      </c>
      <c r="C142" s="5" t="inlineStr">
        <is>
          <t>구찌</t>
        </is>
      </c>
      <c r="D142" s="4" t="inlineStr">
        <is>
          <t>Flora Gorgeous Gardenia</t>
        </is>
      </c>
      <c r="E142" s="5" t="inlineStr">
        <is>
          <t>플로라 고져스 가드니아</t>
        </is>
      </c>
      <c r="F142" s="5" t="inlineStr">
        <is>
          <t>EDP</t>
        </is>
      </c>
      <c r="G142" s="5" t="inlineStr">
        <is>
          <t>Pear, Pink Pepper</t>
        </is>
      </c>
      <c r="H142" s="5" t="inlineStr">
        <is>
          <t>Gardenia, Jasmine</t>
        </is>
      </c>
      <c r="I142" s="5" t="inlineStr">
        <is>
          <t>Patchouli, White Musk</t>
        </is>
      </c>
      <c r="J142" s="6" t="n"/>
      <c r="K142" s="5" t="inlineStr">
        <is>
          <t>whiteFloral</t>
        </is>
      </c>
      <c r="L142" s="5" t="inlineStr">
        <is>
          <t>fruity</t>
        </is>
      </c>
      <c r="M142" s="5" t="inlineStr">
        <is>
          <t>lovely, fresh, soft, elegant</t>
        </is>
      </c>
      <c r="N142" s="5" t="n"/>
      <c r="O142" s="5" t="inlineStr">
        <is>
          <t>medium</t>
        </is>
      </c>
      <c r="P142" s="5" t="inlineStr">
        <is>
          <t>low</t>
        </is>
      </c>
      <c r="Q142" s="5" t="inlineStr">
        <is>
          <t>봄·여름 · 데이트</t>
        </is>
      </c>
      <c r="R142" s="5" t="inlineStr">
        <is>
          <t>배의 산뜻함 위에 치자꽃이 피어나는 향</t>
        </is>
      </c>
      <c r="S142" s="5" t="inlineStr">
        <is>
          <t>몇 시간 뒤엔 보송한 머스크와 패출리가 남아요</t>
        </is>
      </c>
      <c r="T142" s="5" t="inlineStr">
        <is>
          <t>배의 싱그러움이 가드니아로 넘어가는 흐름을 맡아보세요</t>
        </is>
      </c>
      <c r="U142" s="6" t="n"/>
      <c r="V142" s="6" t="n"/>
      <c r="W142" s="6" t="n"/>
      <c r="X142" s="6" t="n"/>
      <c r="Y142" s="4" t="inlineStr">
        <is>
          <t>구찌 백화점</t>
        </is>
      </c>
      <c r="Z142" s="6" t="inlineStr">
        <is>
          <t>백화점</t>
        </is>
      </c>
      <c r="AA142" s="6" t="n"/>
      <c r="AB142" s="6" t="n"/>
      <c r="AC142" s="4" t="inlineStr">
        <is>
          <t>AI 초안 (공식 확인 전)</t>
        </is>
      </c>
      <c r="AD142" s="4" t="inlineStr">
        <is>
          <t>노트·농도 공식 확인 / 국내 정가 / 이미지</t>
        </is>
      </c>
      <c r="AE142" s="6" t="inlineStr">
        <is>
          <t>보통 (앱에 표시)</t>
        </is>
      </c>
    </row>
    <row r="143">
      <c r="A143" s="4" t="inlineStr">
        <is>
          <t>gucci-memoire-d-une-odeur</t>
        </is>
      </c>
      <c r="B143" s="4" t="inlineStr">
        <is>
          <t>Gucci</t>
        </is>
      </c>
      <c r="C143" s="5" t="inlineStr">
        <is>
          <t>구찌</t>
        </is>
      </c>
      <c r="D143" s="4" t="inlineStr">
        <is>
          <t>Mémoire d'une Odeur</t>
        </is>
      </c>
      <c r="E143" s="5" t="inlineStr">
        <is>
          <t>메모아 뒤느 오되르</t>
        </is>
      </c>
      <c r="F143" s="5" t="inlineStr">
        <is>
          <t>EDP</t>
        </is>
      </c>
      <c r="G143" s="5" t="inlineStr">
        <is>
          <t>Chamomile</t>
        </is>
      </c>
      <c r="H143" s="5" t="inlineStr">
        <is>
          <t>Jasmine</t>
        </is>
      </c>
      <c r="I143" s="5" t="inlineStr">
        <is>
          <t>Sandalwood, Musk, Cedar</t>
        </is>
      </c>
      <c r="J143" s="6" t="n"/>
      <c r="K143" s="5" t="inlineStr">
        <is>
          <t>aromatic</t>
        </is>
      </c>
      <c r="L143" s="5" t="inlineStr">
        <is>
          <t>musk</t>
        </is>
      </c>
      <c r="M143" s="5" t="inlineStr">
        <is>
          <t>calm, soft, cozy, clean</t>
        </is>
      </c>
      <c r="N143" s="5" t="n"/>
      <c r="O143" s="5" t="inlineStr">
        <is>
          <t>medium</t>
        </is>
      </c>
      <c r="P143" s="5" t="inlineStr">
        <is>
          <t>mid</t>
        </is>
      </c>
      <c r="Q143" s="5" t="inlineStr">
        <is>
          <t>사계절 · 일상</t>
        </is>
      </c>
      <c r="R143" s="5" t="inlineStr">
        <is>
          <t>캐모마일과 머스크가 담백한 성별 없는 향</t>
        </is>
      </c>
      <c r="S143" s="5" t="inlineStr">
        <is>
          <t>몇 시간 뒤엔 건조한 나무와 머스크가 남아요</t>
        </is>
      </c>
      <c r="T143" s="5" t="inlineStr">
        <is>
          <t>캐모마일의 약초 같은 느낌이 낯설지 않은지 맡아보세요</t>
        </is>
      </c>
      <c r="U143" s="6" t="n"/>
      <c r="V143" s="6" t="n"/>
      <c r="W143" s="6" t="n"/>
      <c r="X143" s="6" t="n"/>
      <c r="Y143" s="4" t="inlineStr">
        <is>
          <t>구찌 백화점</t>
        </is>
      </c>
      <c r="Z143" s="6" t="inlineStr">
        <is>
          <t>백화점</t>
        </is>
      </c>
      <c r="AA143" s="6" t="n"/>
      <c r="AB143" s="6" t="n"/>
      <c r="AC143" s="4" t="inlineStr">
        <is>
          <t>AI 초안 (공식 확인 전)</t>
        </is>
      </c>
      <c r="AD143" s="4" t="inlineStr">
        <is>
          <t>노트·농도 공식 확인 / 국내 정가 / 이미지</t>
        </is>
      </c>
      <c r="AE143" s="6" t="inlineStr">
        <is>
          <t>보통 (앱에 표시)</t>
        </is>
      </c>
    </row>
    <row r="144">
      <c r="A144" s="4" t="inlineStr">
        <is>
          <t>burberry-hero</t>
        </is>
      </c>
      <c r="B144" s="4" t="inlineStr">
        <is>
          <t>Burberry</t>
        </is>
      </c>
      <c r="C144" s="5" t="inlineStr">
        <is>
          <t>버버리</t>
        </is>
      </c>
      <c r="D144" s="4" t="inlineStr">
        <is>
          <t>Hero</t>
        </is>
      </c>
      <c r="E144" s="5" t="inlineStr">
        <is>
          <t>히어로</t>
        </is>
      </c>
      <c r="F144" s="5" t="inlineStr">
        <is>
          <t>EDT</t>
        </is>
      </c>
      <c r="G144" s="5" t="inlineStr">
        <is>
          <t>Bergamot, Juniper Berries</t>
        </is>
      </c>
      <c r="H144" s="5" t="inlineStr">
        <is>
          <t>Pepper, Cedar</t>
        </is>
      </c>
      <c r="I144" s="5" t="inlineStr">
        <is>
          <t>Benzoin, Musk</t>
        </is>
      </c>
      <c r="J144" s="6" t="n"/>
      <c r="K144" s="5" t="inlineStr">
        <is>
          <t>woody</t>
        </is>
      </c>
      <c r="L144" s="5" t="inlineStr">
        <is>
          <t>aromatic</t>
        </is>
      </c>
      <c r="M144" s="5" t="inlineStr">
        <is>
          <t>fresh, clean, calm, warm</t>
        </is>
      </c>
      <c r="N144" s="5" t="n"/>
      <c r="O144" s="5" t="inlineStr">
        <is>
          <t>medium</t>
        </is>
      </c>
      <c r="P144" s="5" t="inlineStr">
        <is>
          <t>low</t>
        </is>
      </c>
      <c r="Q144" s="5" t="inlineStr">
        <is>
          <t>사계절 · 출근</t>
        </is>
      </c>
      <c r="R144" s="5" t="inlineStr">
        <is>
          <t>시트러스와 주니퍼에 삼나무가 이어지는 깔끔한 향</t>
        </is>
      </c>
      <c r="S144" s="5" t="inlineStr">
        <is>
          <t>몇 시간 뒤엔 부드러운 시더와 머스크가 남아요</t>
        </is>
      </c>
      <c r="T144" s="5" t="inlineStr">
        <is>
          <t>주니퍼의 상쾌함이 시더로 부드럽게 바뀌는지 맡아보세요</t>
        </is>
      </c>
      <c r="U144" s="6" t="n">
        <v>100</v>
      </c>
      <c r="V144" s="6" t="n">
        <v>179000</v>
      </c>
      <c r="W144" s="6" t="inlineStr">
        <is>
          <t>2026-10-08</t>
        </is>
      </c>
      <c r="X144" s="6" t="inlineStr">
        <is>
          <t>https://kr.burberry.com/burberry-hero-eau-de-toilette-100ml-p40818661</t>
        </is>
      </c>
      <c r="Y144" s="4" t="inlineStr">
        <is>
          <t>버버리 백화점</t>
        </is>
      </c>
      <c r="Z144" s="6" t="inlineStr">
        <is>
          <t>[확인 필요]</t>
        </is>
      </c>
      <c r="AA144" s="6" t="inlineStr">
        <is>
          <t>burberry-hero.jpg</t>
        </is>
      </c>
      <c r="AB144" s="6" t="inlineStr">
        <is>
          <t>https://kr.burberry.com/burberry-hero-eau-de-toilette-100ml-p40818661</t>
        </is>
      </c>
      <c r="AC144" s="4" t="inlineStr">
        <is>
          <t>AI 초안 (공식 확인 전)</t>
        </is>
      </c>
      <c r="AD144" s="4" t="inlineStr">
        <is>
          <t>노트·농도 공식 확인</t>
        </is>
      </c>
      <c r="AE144" s="6" t="inlineStr">
        <is>
          <t>미확인</t>
        </is>
      </c>
    </row>
    <row r="145">
      <c r="A145" s="4" t="inlineStr">
        <is>
          <t>burberry-goddess</t>
        </is>
      </c>
      <c r="B145" s="4" t="inlineStr">
        <is>
          <t>Burberry</t>
        </is>
      </c>
      <c r="C145" s="5" t="inlineStr">
        <is>
          <t>버버리</t>
        </is>
      </c>
      <c r="D145" s="4" t="inlineStr">
        <is>
          <t>Goddess</t>
        </is>
      </c>
      <c r="E145" s="5" t="inlineStr">
        <is>
          <t>가디스</t>
        </is>
      </c>
      <c r="F145" s="5" t="inlineStr">
        <is>
          <t>EDP</t>
        </is>
      </c>
      <c r="G145" s="5" t="inlineStr">
        <is>
          <t>Lavender</t>
        </is>
      </c>
      <c r="H145" s="5" t="inlineStr">
        <is>
          <t>Vanilla</t>
        </is>
      </c>
      <c r="I145" s="5" t="inlineStr">
        <is>
          <t>Woody Notes, Musk</t>
        </is>
      </c>
      <c r="J145" s="6" t="n"/>
      <c r="K145" s="5" t="inlineStr">
        <is>
          <t>gourmand</t>
        </is>
      </c>
      <c r="L145" s="5" t="inlineStr">
        <is>
          <t>aromatic</t>
        </is>
      </c>
      <c r="M145" s="5" t="inlineStr">
        <is>
          <t>warm, sweet, sensual, cozy</t>
        </is>
      </c>
      <c r="N145" s="5" t="inlineStr">
        <is>
          <t>tooSweet</t>
        </is>
      </c>
      <c r="O145" s="5" t="inlineStr">
        <is>
          <t>strong</t>
        </is>
      </c>
      <c r="P145" s="5" t="inlineStr">
        <is>
          <t>high</t>
        </is>
      </c>
      <c r="Q145" s="5" t="inlineStr">
        <is>
          <t>가을·겨울 · 데이트</t>
        </is>
      </c>
      <c r="R145" s="5" t="inlineStr">
        <is>
          <t>바닐라에 라벤더를 섞은 진한 구르망 향</t>
        </is>
      </c>
      <c r="S145" s="5" t="inlineStr">
        <is>
          <t>몇 시간 뒤엔 짙은 바닐라와 우디가 남아요</t>
        </is>
      </c>
      <c r="T145" s="5" t="inlineStr">
        <is>
          <t>바닐라의 단맛이 라벤더로 중화되는지 맡아보세요</t>
        </is>
      </c>
      <c r="U145" s="6" t="n">
        <v>100</v>
      </c>
      <c r="V145" s="6" t="n">
        <v>275000</v>
      </c>
      <c r="W145" s="6" t="inlineStr">
        <is>
          <t>2026-10-08</t>
        </is>
      </c>
      <c r="X145" s="6" t="inlineStr">
        <is>
          <t>https://kr.burberry.com/burberry-goddess-eau-de-parfum-for-women-100ml-p40835981</t>
        </is>
      </c>
      <c r="Y145" s="4" t="inlineStr">
        <is>
          <t>버버리 백화점</t>
        </is>
      </c>
      <c r="Z145" s="6" t="inlineStr">
        <is>
          <t>[확인 필요]</t>
        </is>
      </c>
      <c r="AA145" s="6" t="inlineStr">
        <is>
          <t>burberry-goddess.jpg</t>
        </is>
      </c>
      <c r="AB145" s="6" t="inlineStr">
        <is>
          <t>https://kr.burberry.com/burberry-goddess-eau-de-parfum-for-women-100ml-p40835981</t>
        </is>
      </c>
      <c r="AC145" s="4" t="inlineStr">
        <is>
          <t>AI 초안 (공식 확인 전)</t>
        </is>
      </c>
      <c r="AD145" s="4" t="inlineStr">
        <is>
          <t>노트·농도 공식 확인</t>
        </is>
      </c>
      <c r="AE145" s="6" t="inlineStr">
        <is>
          <t>미확인</t>
        </is>
      </c>
    </row>
    <row r="146">
      <c r="A146" s="4" t="inlineStr">
        <is>
          <t>versace-dylan-blue</t>
        </is>
      </c>
      <c r="B146" s="4" t="inlineStr">
        <is>
          <t>Versace</t>
        </is>
      </c>
      <c r="C146" s="5" t="inlineStr">
        <is>
          <t>베르사체</t>
        </is>
      </c>
      <c r="D146" s="4" t="inlineStr">
        <is>
          <t>Dylan Blue</t>
        </is>
      </c>
      <c r="E146" s="5" t="inlineStr">
        <is>
          <t>다일런 블루</t>
        </is>
      </c>
      <c r="F146" s="5" t="inlineStr">
        <is>
          <t>EDT</t>
        </is>
      </c>
      <c r="G146" s="5" t="inlineStr">
        <is>
          <t>Bergamot, Grapefruit, Fig Leaf</t>
        </is>
      </c>
      <c r="H146" s="5" t="inlineStr">
        <is>
          <t>Violet Leaf, Pepper, Patchouli</t>
        </is>
      </c>
      <c r="I146" s="5" t="inlineStr">
        <is>
          <t>Musk, Tonka Bean, Incense</t>
        </is>
      </c>
      <c r="J146" s="6" t="n"/>
      <c r="K146" s="5" t="inlineStr">
        <is>
          <t>aromatic</t>
        </is>
      </c>
      <c r="L146" s="5" t="inlineStr">
        <is>
          <t>aqua</t>
        </is>
      </c>
      <c r="M146" s="5" t="inlineStr">
        <is>
          <t>fresh, cool, clean</t>
        </is>
      </c>
      <c r="N146" s="5" t="n"/>
      <c r="O146" s="5" t="inlineStr">
        <is>
          <t>medium</t>
        </is>
      </c>
      <c r="P146" s="5" t="inlineStr">
        <is>
          <t>low</t>
        </is>
      </c>
      <c r="Q146" s="5" t="inlineStr">
        <is>
          <t>봄·여름 · 출근·데이트</t>
        </is>
      </c>
      <c r="R146" s="5" t="inlineStr">
        <is>
          <t>시트러스와 무화과 잎이 시원한 아로마틱 향</t>
        </is>
      </c>
      <c r="S146" s="5" t="inlineStr">
        <is>
          <t>몇 시간 뒤엔 부드러운 머스크와 우디가 남아요</t>
        </is>
      </c>
      <c r="T146" s="5" t="inlineStr">
        <is>
          <t>자몽의 청량함이 패출리와 만나 어떻게 변하는지 맡아보세요</t>
        </is>
      </c>
      <c r="U146" s="6" t="n"/>
      <c r="V146" s="6" t="n"/>
      <c r="W146" s="6" t="n"/>
      <c r="X146" s="6" t="n"/>
      <c r="Y146" s="4" t="inlineStr">
        <is>
          <t>베르사체 백화점</t>
        </is>
      </c>
      <c r="Z146" s="6" t="inlineStr">
        <is>
          <t>올리브영</t>
        </is>
      </c>
      <c r="AA146" s="6" t="n"/>
      <c r="AB146" s="6" t="n"/>
      <c r="AC146" s="4" t="inlineStr">
        <is>
          <t>AI 초안 (공식 확인 전)</t>
        </is>
      </c>
      <c r="AD146" s="4" t="inlineStr">
        <is>
          <t>노트·농도 공식 확인 / 국내 정가 / 이미지</t>
        </is>
      </c>
      <c r="AE146" s="6" t="inlineStr">
        <is>
          <t>보통 (앱에 표시)</t>
        </is>
      </c>
    </row>
    <row r="147">
      <c r="A147" s="4" t="inlineStr">
        <is>
          <t>versace-pour-homme</t>
        </is>
      </c>
      <c r="B147" s="4" t="inlineStr">
        <is>
          <t>Versace</t>
        </is>
      </c>
      <c r="C147" s="5" t="inlineStr">
        <is>
          <t>베르사체</t>
        </is>
      </c>
      <c r="D147" s="4" t="inlineStr">
        <is>
          <t>Pour Homme</t>
        </is>
      </c>
      <c r="E147" s="5" t="inlineStr">
        <is>
          <t>푸르 옴므</t>
        </is>
      </c>
      <c r="F147" s="5" t="inlineStr">
        <is>
          <t>EDT</t>
        </is>
      </c>
      <c r="G147" s="5" t="inlineStr">
        <is>
          <t>Bergamot, Lemon, Neroli</t>
        </is>
      </c>
      <c r="H147" s="5" t="inlineStr">
        <is>
          <t>Cedar, Geranium, Clary Sage</t>
        </is>
      </c>
      <c r="I147" s="5" t="inlineStr">
        <is>
          <t>Tonka Bean, Musk, Amber</t>
        </is>
      </c>
      <c r="J147" s="6" t="n"/>
      <c r="K147" s="5" t="inlineStr">
        <is>
          <t>citrus</t>
        </is>
      </c>
      <c r="L147" s="5" t="inlineStr">
        <is>
          <t>aromatic</t>
        </is>
      </c>
      <c r="M147" s="5" t="inlineStr">
        <is>
          <t>clean, fresh, zesty, cool</t>
        </is>
      </c>
      <c r="N147" s="5" t="n"/>
      <c r="O147" s="5" t="inlineStr">
        <is>
          <t>light</t>
        </is>
      </c>
      <c r="P147" s="5" t="inlineStr">
        <is>
          <t>low</t>
        </is>
      </c>
      <c r="Q147" s="5" t="inlineStr">
        <is>
          <t>봄·여름 · 출근</t>
        </is>
      </c>
      <c r="R147" s="5" t="inlineStr">
        <is>
          <t>레몬과 네롤리가 가볍게 퍼지는 깨끗한 시트러스</t>
        </is>
      </c>
      <c r="S147" s="5" t="inlineStr">
        <is>
          <t>몇 시간 뒤엔 보송한 머스크와 앰버가 남아요</t>
        </is>
      </c>
      <c r="T147" s="5" t="inlineStr">
        <is>
          <t>시트러스가 깔끔하게 시작해 시더로 이어지는지 맡아보세요</t>
        </is>
      </c>
      <c r="U147" s="6" t="n"/>
      <c r="V147" s="6" t="n"/>
      <c r="W147" s="6" t="n"/>
      <c r="X147" s="6" t="n"/>
      <c r="Y147" s="4" t="inlineStr">
        <is>
          <t>베르사체 백화점</t>
        </is>
      </c>
      <c r="Z147" s="6" t="inlineStr">
        <is>
          <t>올리브영</t>
        </is>
      </c>
      <c r="AA147" s="6" t="n"/>
      <c r="AB147" s="6" t="n"/>
      <c r="AC147" s="4" t="inlineStr">
        <is>
          <t>AI 초안 (공식 확인 전)</t>
        </is>
      </c>
      <c r="AD147" s="4" t="inlineStr">
        <is>
          <t>노트·농도 공식 확인 / 국내 정가 / 이미지</t>
        </is>
      </c>
      <c r="AE147" s="6" t="inlineStr">
        <is>
          <t>보통 (앱에 표시)</t>
        </is>
      </c>
    </row>
    <row r="148">
      <c r="A148" s="4" t="inlineStr">
        <is>
          <t>jean-paul-gaultier-scandal</t>
        </is>
      </c>
      <c r="B148" s="4" t="inlineStr">
        <is>
          <t>Jean Paul Gaultier</t>
        </is>
      </c>
      <c r="C148" s="5" t="inlineStr">
        <is>
          <t>장 폴 고티에</t>
        </is>
      </c>
      <c r="D148" s="4" t="inlineStr">
        <is>
          <t>Scandal</t>
        </is>
      </c>
      <c r="E148" s="5" t="inlineStr">
        <is>
          <t>스캔들</t>
        </is>
      </c>
      <c r="F148" s="5" t="inlineStr">
        <is>
          <t>EDP</t>
        </is>
      </c>
      <c r="G148" s="5" t="inlineStr">
        <is>
          <t>Orange, Mandarin</t>
        </is>
      </c>
      <c r="H148" s="5" t="inlineStr">
        <is>
          <t>Gardenia, Honey, Jasmine</t>
        </is>
      </c>
      <c r="I148" s="5" t="inlineStr">
        <is>
          <t>Patchouli, Caramel</t>
        </is>
      </c>
      <c r="J148" s="6" t="n"/>
      <c r="K148" s="5" t="inlineStr">
        <is>
          <t>gourmand</t>
        </is>
      </c>
      <c r="L148" s="5" t="inlineStr">
        <is>
          <t>whiteFloral</t>
        </is>
      </c>
      <c r="M148" s="5" t="inlineStr">
        <is>
          <t>sweet, sensual, warm</t>
        </is>
      </c>
      <c r="N148" s="5" t="inlineStr">
        <is>
          <t>tooSweet</t>
        </is>
      </c>
      <c r="O148" s="5" t="inlineStr">
        <is>
          <t>strong</t>
        </is>
      </c>
      <c r="P148" s="5" t="inlineStr">
        <is>
          <t>high</t>
        </is>
      </c>
      <c r="Q148" s="5" t="inlineStr">
        <is>
          <t>가을·겨울 · 데이트</t>
        </is>
      </c>
      <c r="R148" s="5" t="inlineStr">
        <is>
          <t>꿀과 치자꽃이 어우러진 달콤하고 관능적인 향</t>
        </is>
      </c>
      <c r="S148" s="5" t="inlineStr">
        <is>
          <t>몇 시간 뒤엔 달콤한 패출리가 포근하게 남아요</t>
        </is>
      </c>
      <c r="T148" s="5" t="inlineStr">
        <is>
          <t>꿀의 달콤함과 패출리의 진함이 부담스럽지 않은지 맡아보세요</t>
        </is>
      </c>
      <c r="U148" s="6" t="n"/>
      <c r="V148" s="6" t="n"/>
      <c r="W148" s="6" t="n"/>
      <c r="X148" s="6" t="n"/>
      <c r="Y148" s="4" t="inlineStr">
        <is>
          <t>장 폴 고티에 백화점</t>
        </is>
      </c>
      <c r="Z148" s="6" t="inlineStr">
        <is>
          <t>면세점</t>
        </is>
      </c>
      <c r="AA148" s="6" t="n"/>
      <c r="AB148" s="6" t="n"/>
      <c r="AC148" s="4" t="inlineStr">
        <is>
          <t>AI 초안 (공식 확인 전)</t>
        </is>
      </c>
      <c r="AD148" s="4" t="inlineStr">
        <is>
          <t>노트·농도 공식 확인 / 국내 정가 / 이미지</t>
        </is>
      </c>
      <c r="AE148" s="6" t="inlineStr">
        <is>
          <t>낮음 (앱에 표시 안 함)</t>
        </is>
      </c>
    </row>
    <row r="149">
      <c r="A149" s="4" t="inlineStr">
        <is>
          <t>jean-paul-gaultier-ultra-male</t>
        </is>
      </c>
      <c r="B149" s="4" t="inlineStr">
        <is>
          <t>Jean Paul Gaultier</t>
        </is>
      </c>
      <c r="C149" s="5" t="inlineStr">
        <is>
          <t>장 폴 고티에</t>
        </is>
      </c>
      <c r="D149" s="4" t="inlineStr">
        <is>
          <t>Ultra Male</t>
        </is>
      </c>
      <c r="E149" s="5" t="inlineStr">
        <is>
          <t>울트라 말</t>
        </is>
      </c>
      <c r="F149" s="5" t="inlineStr">
        <is>
          <t>EDT</t>
        </is>
      </c>
      <c r="G149" s="5" t="inlineStr">
        <is>
          <t>Mint, Bergamot, Pear</t>
        </is>
      </c>
      <c r="H149" s="5" t="inlineStr">
        <is>
          <t>Lavender, Cinnamon</t>
        </is>
      </c>
      <c r="I149" s="5" t="inlineStr">
        <is>
          <t>Vanilla, Amber, Cedar</t>
        </is>
      </c>
      <c r="J149" s="6" t="n"/>
      <c r="K149" s="5" t="inlineStr">
        <is>
          <t>gourmand</t>
        </is>
      </c>
      <c r="L149" s="5" t="inlineStr">
        <is>
          <t>aromatic, spicy</t>
        </is>
      </c>
      <c r="M149" s="5" t="inlineStr">
        <is>
          <t>sweet, warm, cozy, fresh</t>
        </is>
      </c>
      <c r="N149" s="5" t="inlineStr">
        <is>
          <t>tooSweet, spicy</t>
        </is>
      </c>
      <c r="O149" s="5" t="inlineStr">
        <is>
          <t>strong</t>
        </is>
      </c>
      <c r="P149" s="5" t="inlineStr">
        <is>
          <t>high</t>
        </is>
      </c>
      <c r="Q149" s="5" t="inlineStr">
        <is>
          <t>가을·겨울 · 데이트</t>
        </is>
      </c>
      <c r="R149" s="5" t="inlineStr">
        <is>
          <t>민트의 청량함 뒤에 바닐라가 깔리는 달콤한 남성 향</t>
        </is>
      </c>
      <c r="S149" s="5" t="inlineStr">
        <is>
          <t>몇 시간 뒤엔 바닐라와 앰버가 달콤하게 남아요</t>
        </is>
      </c>
      <c r="T149" s="5" t="inlineStr">
        <is>
          <t>시원한 민트가 짙은 바닐라로 넘어가는 변화가 맞는지 맡아보세요</t>
        </is>
      </c>
      <c r="U149" s="6" t="n"/>
      <c r="V149" s="6" t="n"/>
      <c r="W149" s="6" t="n"/>
      <c r="X149" s="6" t="n"/>
      <c r="Y149" s="4" t="inlineStr">
        <is>
          <t>장 폴 고티에 백화점</t>
        </is>
      </c>
      <c r="Z149" s="6" t="inlineStr">
        <is>
          <t>면세점</t>
        </is>
      </c>
      <c r="AA149" s="6" t="n"/>
      <c r="AB149" s="6" t="n"/>
      <c r="AC149" s="4" t="inlineStr">
        <is>
          <t>AI 초안 (공식 확인 전)</t>
        </is>
      </c>
      <c r="AD149" s="4" t="inlineStr">
        <is>
          <t>노트·농도 공식 확인 / 국내 정가 / 이미지</t>
        </is>
      </c>
      <c r="AE149" s="6" t="inlineStr">
        <is>
          <t>낮음 (앱에 표시 안 함)</t>
        </is>
      </c>
    </row>
    <row r="150">
      <c r="A150" s="4" t="inlineStr">
        <is>
          <t>jean-paul-gaultier-le-beau</t>
        </is>
      </c>
      <c r="B150" s="4" t="inlineStr">
        <is>
          <t>Jean Paul Gaultier</t>
        </is>
      </c>
      <c r="C150" s="5" t="inlineStr">
        <is>
          <t>장 폴 고티에</t>
        </is>
      </c>
      <c r="D150" s="4" t="inlineStr">
        <is>
          <t>Le Beau</t>
        </is>
      </c>
      <c r="E150" s="5" t="inlineStr">
        <is>
          <t>르 보</t>
        </is>
      </c>
      <c r="F150" s="5" t="inlineStr">
        <is>
          <t>EDT</t>
        </is>
      </c>
      <c r="G150" s="5" t="inlineStr">
        <is>
          <t>Bergamot</t>
        </is>
      </c>
      <c r="H150" s="5" t="inlineStr">
        <is>
          <t>Coconut</t>
        </is>
      </c>
      <c r="I150" s="5" t="inlineStr">
        <is>
          <t>Tonka Bean, Sandalwood</t>
        </is>
      </c>
      <c r="J150" s="6" t="n"/>
      <c r="K150" s="5" t="inlineStr">
        <is>
          <t>gourmand</t>
        </is>
      </c>
      <c r="L150" s="5" t="inlineStr">
        <is>
          <t>woody</t>
        </is>
      </c>
      <c r="M150" s="5" t="inlineStr">
        <is>
          <t>warm, sweet, cozy, sensual</t>
        </is>
      </c>
      <c r="N150" s="5" t="n"/>
      <c r="O150" s="5" t="inlineStr">
        <is>
          <t>medium</t>
        </is>
      </c>
      <c r="P150" s="5" t="inlineStr">
        <is>
          <t>mid</t>
        </is>
      </c>
      <c r="Q150" s="5" t="inlineStr">
        <is>
          <t>여름 · 휴가</t>
        </is>
      </c>
      <c r="R150" s="5" t="inlineStr">
        <is>
          <t>코코넛과 우디가 만난 따뜻한 열대 향</t>
        </is>
      </c>
      <c r="S150" s="5" t="inlineStr">
        <is>
          <t>몇 시간 뒤엔 톤카빈과 부드러운 나무 향이 남아요</t>
        </is>
      </c>
      <c r="T150" s="5" t="inlineStr">
        <is>
          <t>코코넛의 달콤함이 우디 향과 균형을 이루는지 맡아보세요</t>
        </is>
      </c>
      <c r="U150" s="6" t="n"/>
      <c r="V150" s="6" t="n"/>
      <c r="W150" s="6" t="n"/>
      <c r="X150" s="6" t="n"/>
      <c r="Y150" s="4" t="inlineStr">
        <is>
          <t>장 폴 고티에 백화점</t>
        </is>
      </c>
      <c r="Z150" s="6" t="inlineStr">
        <is>
          <t>면세점</t>
        </is>
      </c>
      <c r="AA150" s="6" t="n"/>
      <c r="AB150" s="6" t="n"/>
      <c r="AC150" s="4" t="inlineStr">
        <is>
          <t>AI 초안 (공식 확인 전)</t>
        </is>
      </c>
      <c r="AD150" s="4" t="inlineStr">
        <is>
          <t>노트·농도 공식 확인 / 국내 정가 / 이미지</t>
        </is>
      </c>
      <c r="AE150" s="6" t="inlineStr">
        <is>
          <t>낮음 (앱에 표시 안 함)</t>
        </is>
      </c>
    </row>
    <row r="151">
      <c r="A151" s="4" t="inlineStr">
        <is>
          <t>marc-jacobs-perfect</t>
        </is>
      </c>
      <c r="B151" s="4" t="inlineStr">
        <is>
          <t>Marc Jacobs</t>
        </is>
      </c>
      <c r="C151" s="5" t="inlineStr">
        <is>
          <t>마크 제이콥스</t>
        </is>
      </c>
      <c r="D151" s="4" t="inlineStr">
        <is>
          <t>Perfect</t>
        </is>
      </c>
      <c r="E151" s="5" t="inlineStr">
        <is>
          <t>퍼펙트</t>
        </is>
      </c>
      <c r="F151" s="5" t="inlineStr">
        <is>
          <t>EDP</t>
        </is>
      </c>
      <c r="G151" s="5" t="inlineStr">
        <is>
          <t>Rhubarb</t>
        </is>
      </c>
      <c r="H151" s="5" t="inlineStr">
        <is>
          <t>Almond</t>
        </is>
      </c>
      <c r="I151" s="5" t="inlineStr">
        <is>
          <t>Cedar, Musk</t>
        </is>
      </c>
      <c r="J151" s="6" t="n"/>
      <c r="K151" s="5" t="inlineStr">
        <is>
          <t>floral</t>
        </is>
      </c>
      <c r="L151" s="5" t="inlineStr">
        <is>
          <t>fruity, woody</t>
        </is>
      </c>
      <c r="M151" s="5" t="inlineStr">
        <is>
          <t>soft, fresh, lovely, sweet</t>
        </is>
      </c>
      <c r="N151" s="5" t="n"/>
      <c r="O151" s="5" t="inlineStr">
        <is>
          <t>medium</t>
        </is>
      </c>
      <c r="P151" s="5" t="inlineStr">
        <is>
          <t>low</t>
        </is>
      </c>
      <c r="Q151" s="5" t="inlineStr">
        <is>
          <t>봄·가을 · 데일리</t>
        </is>
      </c>
      <c r="R151" s="5" t="inlineStr">
        <is>
          <t>상큼한 과일과 부드러운 머스크의 산뜻한 꽃 향</t>
        </is>
      </c>
      <c r="S151" s="5" t="inlineStr">
        <is>
          <t>몇 시간 뒤엔 보송한 머스크와 나무 향이 남아요</t>
        </is>
      </c>
      <c r="T151" s="5" t="inlineStr">
        <is>
          <t>첫 향의 과일 느낌이 보송한 머스크로 이어지는지 맡아보세요</t>
        </is>
      </c>
      <c r="U151" s="6" t="n"/>
      <c r="V151" s="6" t="n"/>
      <c r="W151" s="6" t="n"/>
      <c r="X151" s="6" t="n"/>
      <c r="Y151" s="4" t="inlineStr">
        <is>
          <t>마크 제이콥스 백화점</t>
        </is>
      </c>
      <c r="Z151" s="6" t="inlineStr">
        <is>
          <t>올리브영</t>
        </is>
      </c>
      <c r="AA151" s="6" t="n"/>
      <c r="AB151" s="6" t="n"/>
      <c r="AC151" s="4" t="inlineStr">
        <is>
          <t>AI 초안 (공식 확인 전)</t>
        </is>
      </c>
      <c r="AD151" s="4" t="inlineStr">
        <is>
          <t>노트·농도 공식 확인 / 국내 정가 / 이미지</t>
        </is>
      </c>
      <c r="AE151" s="6" t="inlineStr">
        <is>
          <t>보통 (앱에 표시)</t>
        </is>
      </c>
    </row>
    <row r="152">
      <c r="A152" s="4" t="inlineStr">
        <is>
          <t>marc-jacobs-daisy-eau-so-fresh</t>
        </is>
      </c>
      <c r="B152" s="4" t="inlineStr">
        <is>
          <t>Marc Jacobs</t>
        </is>
      </c>
      <c r="C152" s="5" t="inlineStr">
        <is>
          <t>마크 제이콥스</t>
        </is>
      </c>
      <c r="D152" s="4" t="inlineStr">
        <is>
          <t>Daisy Eau So Fresh</t>
        </is>
      </c>
      <c r="E152" s="5" t="inlineStr">
        <is>
          <t>데이지 오 쏘 프레쉬</t>
        </is>
      </c>
      <c r="F152" s="5" t="inlineStr">
        <is>
          <t>EDT</t>
        </is>
      </c>
      <c r="G152" s="5" t="inlineStr">
        <is>
          <t>Raspberry, Grapefruit, Pear</t>
        </is>
      </c>
      <c r="H152" s="5" t="inlineStr">
        <is>
          <t>Violet, Rose</t>
        </is>
      </c>
      <c r="I152" s="5" t="inlineStr">
        <is>
          <t>Musk, Cedar, Plum</t>
        </is>
      </c>
      <c r="J152" s="6" t="n"/>
      <c r="K152" s="5" t="inlineStr">
        <is>
          <t>fruity</t>
        </is>
      </c>
      <c r="L152" s="5" t="inlineStr">
        <is>
          <t>floral</t>
        </is>
      </c>
      <c r="M152" s="5" t="inlineStr">
        <is>
          <t>fresh, lovely, zesty, sweet</t>
        </is>
      </c>
      <c r="N152" s="5" t="n"/>
      <c r="O152" s="5" t="inlineStr">
        <is>
          <t>light</t>
        </is>
      </c>
      <c r="P152" s="5" t="inlineStr">
        <is>
          <t>low</t>
        </is>
      </c>
      <c r="Q152" s="5" t="inlineStr">
        <is>
          <t>봄·여름 · 데일리</t>
        </is>
      </c>
      <c r="R152" s="5" t="inlineStr">
        <is>
          <t>라즈베리와 자몽이 톡 튀는 싱그러운 꽃 향</t>
        </is>
      </c>
      <c r="S152" s="5" t="inlineStr">
        <is>
          <t>몇 시간 뒤엔 가벼운 머스크와 나무 향이 남아요</t>
        </is>
      </c>
      <c r="T152" s="5" t="inlineStr">
        <is>
          <t>과일의 새콤함이 꽃 향으로 부드럽게 이어지는지 맡아보세요</t>
        </is>
      </c>
      <c r="U152" s="6" t="n"/>
      <c r="V152" s="6" t="n"/>
      <c r="W152" s="6" t="n"/>
      <c r="X152" s="6" t="n"/>
      <c r="Y152" s="4" t="inlineStr">
        <is>
          <t>마크 제이콥스 백화점</t>
        </is>
      </c>
      <c r="Z152" s="6" t="inlineStr">
        <is>
          <t>올리브영</t>
        </is>
      </c>
      <c r="AA152" s="6" t="n"/>
      <c r="AB152" s="6" t="n"/>
      <c r="AC152" s="4" t="inlineStr">
        <is>
          <t>AI 초안 (공식 확인 전)</t>
        </is>
      </c>
      <c r="AD152" s="4" t="inlineStr">
        <is>
          <t>노트·농도 공식 확인 / 국내 정가 / 이미지</t>
        </is>
      </c>
      <c r="AE152" s="6" t="inlineStr">
        <is>
          <t>보통 (앱에 표시)</t>
        </is>
      </c>
    </row>
    <row r="153">
      <c r="A153" s="4" t="inlineStr">
        <is>
          <t>issey-miyake-l-eau-d-issey</t>
        </is>
      </c>
      <c r="B153" s="4" t="inlineStr">
        <is>
          <t>Issey Miyake</t>
        </is>
      </c>
      <c r="C153" s="5" t="inlineStr">
        <is>
          <t>이세이 미야케</t>
        </is>
      </c>
      <c r="D153" s="4" t="inlineStr">
        <is>
          <t>L'Eau d'Issey</t>
        </is>
      </c>
      <c r="E153" s="5" t="inlineStr">
        <is>
          <t>로 디세이</t>
        </is>
      </c>
      <c r="F153" s="5" t="inlineStr">
        <is>
          <t>EDT</t>
        </is>
      </c>
      <c r="G153" s="5" t="inlineStr">
        <is>
          <t>Rose, Lotus</t>
        </is>
      </c>
      <c r="H153" s="5" t="inlineStr">
        <is>
          <t>Lily of the Valley, Freesia</t>
        </is>
      </c>
      <c r="I153" s="5" t="inlineStr">
        <is>
          <t>Woody Notes, Musk</t>
        </is>
      </c>
      <c r="J153" s="6" t="n"/>
      <c r="K153" s="5" t="inlineStr">
        <is>
          <t>floral</t>
        </is>
      </c>
      <c r="L153" s="5" t="inlineStr">
        <is>
          <t>aqua</t>
        </is>
      </c>
      <c r="M153" s="5" t="inlineStr">
        <is>
          <t>clean, calm, soft, elegant</t>
        </is>
      </c>
      <c r="N153" s="5" t="inlineStr">
        <is>
          <t>soapy</t>
        </is>
      </c>
      <c r="O153" s="5" t="inlineStr">
        <is>
          <t>light</t>
        </is>
      </c>
      <c r="P153" s="5" t="inlineStr">
        <is>
          <t>low</t>
        </is>
      </c>
      <c r="Q153" s="5" t="inlineStr">
        <is>
          <t>봄·여름 · 출근</t>
        </is>
      </c>
      <c r="R153" s="5" t="inlineStr">
        <is>
          <t>맑은 물과 하얀 꽃이 어우러진 투명한 향</t>
        </is>
      </c>
      <c r="S153" s="5" t="inlineStr">
        <is>
          <t>몇 시간 뒤엔 부드러운 우디 머스크가 은은하게 남아요</t>
        </is>
      </c>
      <c r="T153" s="5" t="inlineStr">
        <is>
          <t>물처럼 맑은 느낌과 꽃 향이 같이 느껴지는지 맡아보세요</t>
        </is>
      </c>
      <c r="U153" s="6" t="n"/>
      <c r="V153" s="6" t="n"/>
      <c r="W153" s="6" t="n"/>
      <c r="X153" s="6" t="n"/>
      <c r="Y153" s="4" t="inlineStr">
        <is>
          <t>이세이 미야케 백화점</t>
        </is>
      </c>
      <c r="Z153" s="6" t="inlineStr">
        <is>
          <t>백화점 · 올리브영</t>
        </is>
      </c>
      <c r="AA153" s="6" t="inlineStr">
        <is>
          <t>issey-miyake-l-eau-d-issey.jpg</t>
        </is>
      </c>
      <c r="AB153" s="6" t="inlineStr">
        <is>
          <t>https://us.isseymiyake.com/products/leau-dissey-eau-de-toilette-50ml</t>
        </is>
      </c>
      <c r="AC153" s="4" t="inlineStr">
        <is>
          <t>AI 초안 (공식 확인 전)</t>
        </is>
      </c>
      <c r="AD153" s="4" t="inlineStr">
        <is>
          <t>노트·농도 공식 확인 / 국내 정가</t>
        </is>
      </c>
      <c r="AE153" s="6" t="inlineStr">
        <is>
          <t>보통 (앱에 표시)</t>
        </is>
      </c>
    </row>
    <row r="154">
      <c r="A154" s="4" t="inlineStr">
        <is>
          <t>issey-miyake-l-eau-d-issey-pour-homme</t>
        </is>
      </c>
      <c r="B154" s="4" t="inlineStr">
        <is>
          <t>Issey Miyake</t>
        </is>
      </c>
      <c r="C154" s="5" t="inlineStr">
        <is>
          <t>이세이 미야케</t>
        </is>
      </c>
      <c r="D154" s="4" t="inlineStr">
        <is>
          <t>L'Eau d'Issey Pour Homme</t>
        </is>
      </c>
      <c r="E154" s="5" t="inlineStr">
        <is>
          <t>로 디세이 뿌르 옴므</t>
        </is>
      </c>
      <c r="F154" s="5" t="inlineStr">
        <is>
          <t>EDT</t>
        </is>
      </c>
      <c r="G154" s="5" t="inlineStr">
        <is>
          <t>Yuzu, Bergamot, Mandarin</t>
        </is>
      </c>
      <c r="H154" s="5" t="inlineStr">
        <is>
          <t>Nutmeg, Ginger</t>
        </is>
      </c>
      <c r="I154" s="5" t="inlineStr">
        <is>
          <t>Cedar, Sandalwood, Vetiver</t>
        </is>
      </c>
      <c r="J154" s="6" t="n"/>
      <c r="K154" s="5" t="inlineStr">
        <is>
          <t>aqua</t>
        </is>
      </c>
      <c r="L154" s="5" t="inlineStr">
        <is>
          <t>citrus, woody</t>
        </is>
      </c>
      <c r="M154" s="5" t="inlineStr">
        <is>
          <t>clean, fresh, cool</t>
        </is>
      </c>
      <c r="N154" s="5" t="n"/>
      <c r="O154" s="5" t="inlineStr">
        <is>
          <t>medium</t>
        </is>
      </c>
      <c r="P154" s="5" t="inlineStr">
        <is>
          <t>low</t>
        </is>
      </c>
      <c r="Q154" s="5" t="inlineStr">
        <is>
          <t>사계절 · 출근</t>
        </is>
      </c>
      <c r="R154" s="5" t="inlineStr">
        <is>
          <t>유자와 시더가 깔끔하게 이어지는 시원한 향</t>
        </is>
      </c>
      <c r="S154" s="5" t="inlineStr">
        <is>
          <t>몇 시간 뒤엔 깨끗한 나무 향이 남아요</t>
        </is>
      </c>
      <c r="T154" s="5" t="inlineStr">
        <is>
          <t>유자의 상큼함 뒤로 나무 향이 차분히 나오는지 맡아보세요</t>
        </is>
      </c>
      <c r="U154" s="6" t="n"/>
      <c r="V154" s="6" t="n"/>
      <c r="W154" s="6" t="n"/>
      <c r="X154" s="6" t="n"/>
      <c r="Y154" s="4" t="inlineStr">
        <is>
          <t>이세이 미야케 백화점</t>
        </is>
      </c>
      <c r="Z154" s="6" t="inlineStr">
        <is>
          <t>백화점 · 올리브영</t>
        </is>
      </c>
      <c r="AA154" s="6" t="n"/>
      <c r="AB154" s="6" t="n"/>
      <c r="AC154" s="4" t="inlineStr">
        <is>
          <t>AI 초안 (공식 확인 전)</t>
        </is>
      </c>
      <c r="AD154" s="4" t="inlineStr">
        <is>
          <t>노트·농도 공식 확인 / 국내 정가 / 이미지</t>
        </is>
      </c>
      <c r="AE154" s="6" t="inlineStr">
        <is>
          <t>보통 (앱에 표시)</t>
        </is>
      </c>
    </row>
    <row r="155">
      <c r="A155" s="4" t="inlineStr">
        <is>
          <t>dolce-gabbana-light-blue-eau-intense</t>
        </is>
      </c>
      <c r="B155" s="4" t="inlineStr">
        <is>
          <t>Dolce &amp; Gabbana</t>
        </is>
      </c>
      <c r="C155" s="5" t="inlineStr">
        <is>
          <t>돌체 앤 가바나</t>
        </is>
      </c>
      <c r="D155" s="4" t="inlineStr">
        <is>
          <t>Light Blue Eau Intense</t>
        </is>
      </c>
      <c r="E155" s="5" t="inlineStr">
        <is>
          <t>라이트 블루 오 인텐스</t>
        </is>
      </c>
      <c r="F155" s="5" t="inlineStr">
        <is>
          <t>EDP</t>
        </is>
      </c>
      <c r="G155" s="5" t="inlineStr">
        <is>
          <t>Grapefruit, Mandarin, Juniper Berries</t>
        </is>
      </c>
      <c r="H155" s="5" t="inlineStr">
        <is>
          <t>Jasmine</t>
        </is>
      </c>
      <c r="I155" s="5" t="inlineStr">
        <is>
          <t>Amber, Musk</t>
        </is>
      </c>
      <c r="J155" s="6" t="n"/>
      <c r="K155" s="5" t="inlineStr">
        <is>
          <t>citrus</t>
        </is>
      </c>
      <c r="L155" s="5" t="inlineStr">
        <is>
          <t>aqua, floral</t>
        </is>
      </c>
      <c r="M155" s="5" t="inlineStr">
        <is>
          <t>cool, fresh, zesty, clean</t>
        </is>
      </c>
      <c r="N155" s="5" t="n"/>
      <c r="O155" s="5" t="inlineStr">
        <is>
          <t>medium</t>
        </is>
      </c>
      <c r="P155" s="5" t="inlineStr">
        <is>
          <t>low</t>
        </is>
      </c>
      <c r="Q155" s="5" t="inlineStr">
        <is>
          <t>여름 · 휴가</t>
        </is>
      </c>
      <c r="R155" s="5" t="inlineStr">
        <is>
          <t>자몽과 만다린의 청량함이 한결 진해진 시트러스</t>
        </is>
      </c>
      <c r="S155" s="5" t="inlineStr">
        <is>
          <t>몇 시간 뒤엔 보송한 머스크와 앰버가 남아요</t>
        </is>
      </c>
      <c r="T155" s="5" t="inlineStr">
        <is>
          <t>오리지널보다 시트러스가 진하고 깊게 느껴지는지 맡아보세요</t>
        </is>
      </c>
      <c r="U155" s="6" t="n"/>
      <c r="V155" s="6" t="n"/>
      <c r="W155" s="6" t="n"/>
      <c r="X155" s="6" t="n"/>
      <c r="Y155" s="4" t="inlineStr">
        <is>
          <t>돌체 앤 가바나 백화점</t>
        </is>
      </c>
      <c r="Z155" s="6" t="inlineStr">
        <is>
          <t>올리브영</t>
        </is>
      </c>
      <c r="AA155" s="6" t="n"/>
      <c r="AB155" s="6" t="n"/>
      <c r="AC155" s="4" t="inlineStr">
        <is>
          <t>AI 초안 (공식 확인 전)</t>
        </is>
      </c>
      <c r="AD155" s="4" t="inlineStr">
        <is>
          <t>노트·농도 공식 확인 / 국내 정가 / 이미지</t>
        </is>
      </c>
      <c r="AE155" s="6" t="inlineStr">
        <is>
          <t>보통 (앱에 표시)</t>
        </is>
      </c>
    </row>
    <row r="156">
      <c r="A156" s="4" t="inlineStr">
        <is>
          <t>dolce-gabbana-light-blue-pour-homme</t>
        </is>
      </c>
      <c r="B156" s="4" t="inlineStr">
        <is>
          <t>Dolce &amp; Gabbana</t>
        </is>
      </c>
      <c r="C156" s="5" t="inlineStr">
        <is>
          <t>돌체 앤 가바나</t>
        </is>
      </c>
      <c r="D156" s="4" t="inlineStr">
        <is>
          <t>Light Blue Pour Homme</t>
        </is>
      </c>
      <c r="E156" s="5" t="inlineStr">
        <is>
          <t>라이트 블루 뿌르 옴므</t>
        </is>
      </c>
      <c r="F156" s="5" t="inlineStr">
        <is>
          <t>EDT</t>
        </is>
      </c>
      <c r="G156" s="5" t="inlineStr">
        <is>
          <t>Grapefruit, Bergamot, Juniper Berries</t>
        </is>
      </c>
      <c r="H156" s="5" t="inlineStr">
        <is>
          <t>Rosemary, Pepper</t>
        </is>
      </c>
      <c r="I156" s="5" t="inlineStr">
        <is>
          <t>Oakmoss, Musk, Amber</t>
        </is>
      </c>
      <c r="J156" s="6" t="n"/>
      <c r="K156" s="5" t="inlineStr">
        <is>
          <t>aromatic</t>
        </is>
      </c>
      <c r="L156" s="5" t="inlineStr">
        <is>
          <t>citrus, woody</t>
        </is>
      </c>
      <c r="M156" s="5" t="inlineStr">
        <is>
          <t>fresh, cool, clean</t>
        </is>
      </c>
      <c r="N156" s="5" t="n"/>
      <c r="O156" s="5" t="inlineStr">
        <is>
          <t>medium</t>
        </is>
      </c>
      <c r="P156" s="5" t="inlineStr">
        <is>
          <t>low</t>
        </is>
      </c>
      <c r="Q156" s="5" t="inlineStr">
        <is>
          <t>여름 · 휴가</t>
        </is>
      </c>
      <c r="R156" s="5" t="inlineStr">
        <is>
          <t>자몽과 허브가 어우러진 시원한 지중해 향</t>
        </is>
      </c>
      <c r="S156" s="5" t="inlineStr">
        <is>
          <t>몇 시간 뒤엔 깔끔한 이끼와 머스크가 남아요</t>
        </is>
      </c>
      <c r="T156" s="5" t="inlineStr">
        <is>
          <t>자몽의 상큼함과 허브 향이 균형 있게 나는지 맡아보세요</t>
        </is>
      </c>
      <c r="U156" s="6" t="n"/>
      <c r="V156" s="6" t="n"/>
      <c r="W156" s="6" t="n"/>
      <c r="X156" s="6" t="n"/>
      <c r="Y156" s="4" t="inlineStr">
        <is>
          <t>돌체 앤 가바나 백화점</t>
        </is>
      </c>
      <c r="Z156" s="6" t="inlineStr">
        <is>
          <t>올리브영</t>
        </is>
      </c>
      <c r="AA156" s="6" t="inlineStr">
        <is>
          <t>dolce-gabbana-light-blue-pour-homme.jpg</t>
        </is>
      </c>
      <c r="AB156" s="6" t="inlineStr">
        <is>
          <t>https://www.dolcegabbana.com/en-us/beauty/perfumes-for-him/light-blue-pour-homme/light-blue-pour-homme-eau-de-toilette---VT01CPVT0009V000.html</t>
        </is>
      </c>
      <c r="AC156" s="4" t="inlineStr">
        <is>
          <t>AI 초안 (공식 확인 전)</t>
        </is>
      </c>
      <c r="AD156" s="4" t="inlineStr">
        <is>
          <t>노트·농도 공식 확인 / 국내 정가</t>
        </is>
      </c>
      <c r="AE156" s="6" t="inlineStr">
        <is>
          <t>보통 (앱에 표시)</t>
        </is>
      </c>
    </row>
    <row r="157">
      <c r="A157" s="4" t="inlineStr">
        <is>
          <t>dolce-gabbana-the-one-women</t>
        </is>
      </c>
      <c r="B157" s="4" t="inlineStr">
        <is>
          <t>Dolce &amp; Gabbana</t>
        </is>
      </c>
      <c r="C157" s="5" t="inlineStr">
        <is>
          <t>돌체 앤 가바나</t>
        </is>
      </c>
      <c r="D157" s="4" t="inlineStr">
        <is>
          <t>The One (women)</t>
        </is>
      </c>
      <c r="E157" s="5" t="inlineStr">
        <is>
          <t>더 원 (우먼)</t>
        </is>
      </c>
      <c r="F157" s="5" t="inlineStr">
        <is>
          <t>EDP</t>
        </is>
      </c>
      <c r="G157" s="5" t="inlineStr">
        <is>
          <t>Bergamot, Mandarin, Peach</t>
        </is>
      </c>
      <c r="H157" s="5" t="inlineStr">
        <is>
          <t>Jasmine, Lily of the Valley</t>
        </is>
      </c>
      <c r="I157" s="5" t="inlineStr">
        <is>
          <t>Amber, Vanilla, Musk</t>
        </is>
      </c>
      <c r="J157" s="6" t="n"/>
      <c r="K157" s="5" t="inlineStr">
        <is>
          <t>floral</t>
        </is>
      </c>
      <c r="L157" s="5" t="inlineStr">
        <is>
          <t>amber, fruity</t>
        </is>
      </c>
      <c r="M157" s="5" t="inlineStr">
        <is>
          <t>warm, sensual, elegant, sweet</t>
        </is>
      </c>
      <c r="N157" s="5" t="inlineStr">
        <is>
          <t>powdery</t>
        </is>
      </c>
      <c r="O157" s="5" t="inlineStr">
        <is>
          <t>medium</t>
        </is>
      </c>
      <c r="P157" s="5" t="inlineStr">
        <is>
          <t>mid</t>
        </is>
      </c>
      <c r="Q157" s="5" t="inlineStr">
        <is>
          <t>가을·겨울 · 데이트</t>
        </is>
      </c>
      <c r="R157" s="5" t="inlineStr">
        <is>
          <t>복숭아와 하얀 꽃에 앰버가 깔리는 우아한 향</t>
        </is>
      </c>
      <c r="S157" s="5" t="inlineStr">
        <is>
          <t>몇 시간 뒤엔 앰버와 바닐라가 따뜻하게 남아요</t>
        </is>
      </c>
      <c r="T157" s="5" t="inlineStr">
        <is>
          <t>꽃 향이 앰버의 따뜻함과 어울리는지 맡아보세요</t>
        </is>
      </c>
      <c r="U157" s="6" t="n"/>
      <c r="V157" s="6" t="n"/>
      <c r="W157" s="6" t="n"/>
      <c r="X157" s="6" t="n"/>
      <c r="Y157" s="4" t="inlineStr">
        <is>
          <t>돌체 앤 가바나 백화점</t>
        </is>
      </c>
      <c r="Z157" s="6" t="inlineStr">
        <is>
          <t>올리브영</t>
        </is>
      </c>
      <c r="AA157" s="6" t="n"/>
      <c r="AB157" s="6" t="n"/>
      <c r="AC157" s="4" t="inlineStr">
        <is>
          <t>AI 초안 (공식 확인 전)</t>
        </is>
      </c>
      <c r="AD157" s="4" t="inlineStr">
        <is>
          <t>노트·농도 공식 확인 / 국내 정가 / 이미지</t>
        </is>
      </c>
      <c r="AE157" s="6" t="inlineStr">
        <is>
          <t>보통 (앱에 표시)</t>
        </is>
      </c>
    </row>
    <row r="158">
      <c r="A158" s="4" t="inlineStr">
        <is>
          <t>chloe-nomade</t>
        </is>
      </c>
      <c r="B158" s="4" t="inlineStr">
        <is>
          <t>Chloé</t>
        </is>
      </c>
      <c r="C158" s="5" t="inlineStr">
        <is>
          <t>끌로에</t>
        </is>
      </c>
      <c r="D158" s="4" t="inlineStr">
        <is>
          <t>Nomade</t>
        </is>
      </c>
      <c r="E158" s="5" t="inlineStr">
        <is>
          <t>노마드</t>
        </is>
      </c>
      <c r="F158" s="5" t="inlineStr">
        <is>
          <t>EDP</t>
        </is>
      </c>
      <c r="G158" s="5" t="inlineStr">
        <is>
          <t>Plum, Lemon</t>
        </is>
      </c>
      <c r="H158" s="5" t="inlineStr">
        <is>
          <t>Freesia, Peony</t>
        </is>
      </c>
      <c r="I158" s="5" t="inlineStr">
        <is>
          <t>Oakmoss, Musk</t>
        </is>
      </c>
      <c r="J158" s="6" t="n"/>
      <c r="K158" s="5" t="inlineStr">
        <is>
          <t>floral</t>
        </is>
      </c>
      <c r="L158" s="5" t="inlineStr">
        <is>
          <t>woody, fruity</t>
        </is>
      </c>
      <c r="M158" s="5" t="inlineStr">
        <is>
          <t>soft, fresh, elegant, calm</t>
        </is>
      </c>
      <c r="N158" s="5" t="n"/>
      <c r="O158" s="5" t="inlineStr">
        <is>
          <t>medium</t>
        </is>
      </c>
      <c r="P158" s="5" t="inlineStr">
        <is>
          <t>mid</t>
        </is>
      </c>
      <c r="Q158" s="5" t="inlineStr">
        <is>
          <t>사계절 · 출근</t>
        </is>
      </c>
      <c r="R158" s="5" t="inlineStr">
        <is>
          <t>자두와 프리지아에 이끼가 더해진 차분한 향</t>
        </is>
      </c>
      <c r="S158" s="5" t="inlineStr">
        <is>
          <t>몇 시간 뒤엔 이끼와 머스크가 포근하게 남아요</t>
        </is>
      </c>
      <c r="T158" s="5" t="inlineStr">
        <is>
          <t>꽃 향 아래 이끼 향이 은은하게 깔리는지 맡아보세요</t>
        </is>
      </c>
      <c r="U158" s="6" t="n"/>
      <c r="V158" s="6" t="n"/>
      <c r="W158" s="6" t="n"/>
      <c r="X158" s="6" t="n"/>
      <c r="Y158" s="4" t="inlineStr">
        <is>
          <t>끌로에 백화점</t>
        </is>
      </c>
      <c r="Z158" s="6" t="inlineStr">
        <is>
          <t>[확인 필요]</t>
        </is>
      </c>
      <c r="AA158" s="6" t="n"/>
      <c r="AB158" s="6" t="n"/>
      <c r="AC158" s="4" t="inlineStr">
        <is>
          <t>AI 초안 (공식 확인 전)</t>
        </is>
      </c>
      <c r="AD158" s="4" t="inlineStr">
        <is>
          <t>노트·농도 공식 확인 / 국내 정가 / 이미지</t>
        </is>
      </c>
      <c r="AE158" s="6" t="inlineStr">
        <is>
          <t>미확인</t>
        </is>
      </c>
    </row>
    <row r="159">
      <c r="A159" s="4" t="inlineStr">
        <is>
          <t>chloe-love-story</t>
        </is>
      </c>
      <c r="B159" s="4" t="inlineStr">
        <is>
          <t>Chloé</t>
        </is>
      </c>
      <c r="C159" s="5" t="inlineStr">
        <is>
          <t>끌로에</t>
        </is>
      </c>
      <c r="D159" s="4" t="inlineStr">
        <is>
          <t>Love Story</t>
        </is>
      </c>
      <c r="E159" s="5" t="inlineStr">
        <is>
          <t>러브 스토리</t>
        </is>
      </c>
      <c r="F159" s="5" t="inlineStr">
        <is>
          <t>EDP</t>
        </is>
      </c>
      <c r="G159" s="5" t="inlineStr">
        <is>
          <t>Neroli</t>
        </is>
      </c>
      <c r="H159" s="5" t="inlineStr">
        <is>
          <t>Orange Blossom, Jasmine</t>
        </is>
      </c>
      <c r="I159" s="5" t="inlineStr">
        <is>
          <t>Cedar, Musk</t>
        </is>
      </c>
      <c r="J159" s="6" t="n"/>
      <c r="K159" s="5" t="inlineStr">
        <is>
          <t>whiteFloral</t>
        </is>
      </c>
      <c r="L159" s="5" t="inlineStr">
        <is>
          <t>floral</t>
        </is>
      </c>
      <c r="M159" s="5" t="inlineStr">
        <is>
          <t>lovely, soft, elegant, clean</t>
        </is>
      </c>
      <c r="N159" s="5" t="n"/>
      <c r="O159" s="5" t="inlineStr">
        <is>
          <t>medium</t>
        </is>
      </c>
      <c r="P159" s="5" t="inlineStr">
        <is>
          <t>low</t>
        </is>
      </c>
      <c r="Q159" s="5" t="inlineStr">
        <is>
          <t>봄 · 데이트</t>
        </is>
      </c>
      <c r="R159" s="5" t="inlineStr">
        <is>
          <t>오렌지 블라썸이 부드럽게 퍼지는 사랑스러운 꽃 향</t>
        </is>
      </c>
      <c r="S159" s="5" t="inlineStr">
        <is>
          <t>몇 시간 뒤엔 시더와 머스크가 보송하게 남아요</t>
        </is>
      </c>
      <c r="T159" s="5" t="inlineStr">
        <is>
          <t>하얀 꽃 향이 부드러운지, 무겁지 않은지 맡아보세요</t>
        </is>
      </c>
      <c r="U159" s="6" t="n"/>
      <c r="V159" s="6" t="n"/>
      <c r="W159" s="6" t="n"/>
      <c r="X159" s="6" t="n"/>
      <c r="Y159" s="4" t="inlineStr">
        <is>
          <t>끌로에 백화점</t>
        </is>
      </c>
      <c r="Z159" s="6" t="inlineStr">
        <is>
          <t>[확인 필요]</t>
        </is>
      </c>
      <c r="AA159" s="6" t="n"/>
      <c r="AB159" s="6" t="n"/>
      <c r="AC159" s="4" t="inlineStr">
        <is>
          <t>AI 초안 (공식 확인 전)</t>
        </is>
      </c>
      <c r="AD159" s="4" t="inlineStr">
        <is>
          <t>노트·농도 공식 확인 / 국내 정가 / 이미지</t>
        </is>
      </c>
      <c r="AE159" s="6" t="inlineStr">
        <is>
          <t>미확인</t>
        </is>
      </c>
    </row>
    <row r="160">
      <c r="A160" s="4" t="inlineStr">
        <is>
          <t>elizabeth-arden-green-tea</t>
        </is>
      </c>
      <c r="B160" s="4" t="inlineStr">
        <is>
          <t>Elizabeth Arden</t>
        </is>
      </c>
      <c r="C160" s="5" t="inlineStr">
        <is>
          <t>엘리자베스 아덴</t>
        </is>
      </c>
      <c r="D160" s="4" t="inlineStr">
        <is>
          <t>Green Tea</t>
        </is>
      </c>
      <c r="E160" s="5" t="inlineStr">
        <is>
          <t>그린티</t>
        </is>
      </c>
      <c r="F160" s="5" t="inlineStr">
        <is>
          <t>EDT</t>
        </is>
      </c>
      <c r="G160" s="5" t="inlineStr">
        <is>
          <t>Lemon, Bergamot, Mint</t>
        </is>
      </c>
      <c r="H160" s="5" t="inlineStr">
        <is>
          <t>Green Tea, Jasmine</t>
        </is>
      </c>
      <c r="I160" s="5" t="inlineStr">
        <is>
          <t>Musk, Amber</t>
        </is>
      </c>
      <c r="J160" s="6" t="n"/>
      <c r="K160" s="5" t="inlineStr">
        <is>
          <t>green</t>
        </is>
      </c>
      <c r="L160" s="5" t="inlineStr">
        <is>
          <t>citrus</t>
        </is>
      </c>
      <c r="M160" s="5" t="inlineStr">
        <is>
          <t>fresh, clean, calm, cool</t>
        </is>
      </c>
      <c r="N160" s="5" t="n"/>
      <c r="O160" s="5" t="inlineStr">
        <is>
          <t>light</t>
        </is>
      </c>
      <c r="P160" s="5" t="inlineStr">
        <is>
          <t>low</t>
        </is>
      </c>
      <c r="Q160" s="5" t="inlineStr">
        <is>
          <t>봄·여름 · 데일리</t>
        </is>
      </c>
      <c r="R160" s="5" t="inlineStr">
        <is>
          <t>레몬과 녹차가 어우러진 가볍고 깔끔한 향</t>
        </is>
      </c>
      <c r="S160" s="5" t="inlineStr">
        <is>
          <t>몇 시간 뒤엔 가벼운 머스크가 은은하게 남아요</t>
        </is>
      </c>
      <c r="T160" s="5" t="inlineStr">
        <is>
          <t>차 향과 레몬의 상큼함이 같이 느껴지는지 맡아보세요</t>
        </is>
      </c>
      <c r="U160" s="6" t="n"/>
      <c r="V160" s="6" t="n"/>
      <c r="W160" s="6" t="n"/>
      <c r="X160" s="6" t="n"/>
      <c r="Y160" s="4" t="inlineStr">
        <is>
          <t>엘리자베스 아덴 올리브영</t>
        </is>
      </c>
      <c r="Z160" s="6" t="inlineStr">
        <is>
          <t>올리브영 · 공식몰</t>
        </is>
      </c>
      <c r="AA160" s="6" t="n"/>
      <c r="AB160" s="6" t="n"/>
      <c r="AC160" s="4" t="inlineStr">
        <is>
          <t>AI 초안 (공식 확인 전)</t>
        </is>
      </c>
      <c r="AD160" s="4" t="inlineStr">
        <is>
          <t>노트·농도 공식 확인 / 국내 정가 / 이미지</t>
        </is>
      </c>
      <c r="AE160" s="6" t="inlineStr">
        <is>
          <t>보통 (앱에 표시)</t>
        </is>
      </c>
    </row>
    <row r="161">
      <c r="A161" s="4" t="inlineStr">
        <is>
          <t>narciso-rodriguez-pure-musc</t>
        </is>
      </c>
      <c r="B161" s="4" t="inlineStr">
        <is>
          <t>Narciso Rodriguez</t>
        </is>
      </c>
      <c r="C161" s="5" t="inlineStr">
        <is>
          <t>나르시소 로드리게즈</t>
        </is>
      </c>
      <c r="D161" s="4" t="inlineStr">
        <is>
          <t>Pure Musc</t>
        </is>
      </c>
      <c r="E161" s="5" t="inlineStr">
        <is>
          <t>퓨어 머스크</t>
        </is>
      </c>
      <c r="F161" s="5" t="inlineStr">
        <is>
          <t>EDP</t>
        </is>
      </c>
      <c r="G161" s="5" t="inlineStr">
        <is>
          <t>Orange Blossom, Jasmine</t>
        </is>
      </c>
      <c r="H161" s="5" t="inlineStr">
        <is>
          <t>Ylang-Ylang, Musk</t>
        </is>
      </c>
      <c r="I161" s="5" t="inlineStr">
        <is>
          <t>Musk, Cashmeran</t>
        </is>
      </c>
      <c r="J161" s="6" t="inlineStr">
        <is>
          <t>https://www.narcisorodriguezparfums.com/en/narciso-rodriguez-for-her-pure-musc/for-her-PURE-MUSC.html</t>
        </is>
      </c>
      <c r="K161" s="5" t="inlineStr">
        <is>
          <t>musk</t>
        </is>
      </c>
      <c r="L161" s="5" t="inlineStr">
        <is>
          <t>whiteFloral</t>
        </is>
      </c>
      <c r="M161" s="5" t="inlineStr">
        <is>
          <t>soft, clean, cozy, calm</t>
        </is>
      </c>
      <c r="N161" s="5" t="inlineStr">
        <is>
          <t>powdery, soapy</t>
        </is>
      </c>
      <c r="O161" s="5" t="inlineStr">
        <is>
          <t>medium</t>
        </is>
      </c>
      <c r="P161" s="5" t="inlineStr">
        <is>
          <t>low</t>
        </is>
      </c>
      <c r="Q161" s="5" t="inlineStr">
        <is>
          <t>사계절 · 데일리</t>
        </is>
      </c>
      <c r="R161" s="5" t="inlineStr">
        <is>
          <t>보송한 머스크에 하얀 꽃을 곁들인 포근한 향</t>
        </is>
      </c>
      <c r="S161" s="5" t="inlineStr">
        <is>
          <t>몇 시간 뒤엔 보드라운 머스크가 피부처럼 남아요</t>
        </is>
      </c>
      <c r="T161" s="5" t="inlineStr">
        <is>
          <t>머스크가 깨끗하고 포근하게 느껴지는지 맡아보세요</t>
        </is>
      </c>
      <c r="U161" s="6" t="n"/>
      <c r="V161" s="6" t="n"/>
      <c r="W161" s="6" t="n"/>
      <c r="X161" s="6" t="n"/>
      <c r="Y161" s="4" t="inlineStr">
        <is>
          <t>나르시소 로드리게즈 백화점</t>
        </is>
      </c>
      <c r="Z161" s="6" t="inlineStr">
        <is>
          <t>올리브영</t>
        </is>
      </c>
      <c r="AA161" s="6" t="n"/>
      <c r="AB161" s="6" t="n"/>
      <c r="AC161" s="4" t="inlineStr">
        <is>
          <t>AI 초안 (공식 확인 전)</t>
        </is>
      </c>
      <c r="AD161" s="4" t="inlineStr">
        <is>
          <t>노트·농도 공식 확인 / 국내 정가 / 이미지</t>
        </is>
      </c>
      <c r="AE161" s="6" t="inlineStr">
        <is>
          <t>보통 (앱에 표시)</t>
        </is>
      </c>
    </row>
    <row r="162">
      <c r="A162" s="4" t="inlineStr">
        <is>
          <t>nonfiction-gentle-night</t>
        </is>
      </c>
      <c r="B162" s="4" t="inlineStr">
        <is>
          <t>Nonfiction</t>
        </is>
      </c>
      <c r="C162" s="5" t="inlineStr">
        <is>
          <t>논픽션</t>
        </is>
      </c>
      <c r="D162" s="4" t="inlineStr">
        <is>
          <t>Gentle Night</t>
        </is>
      </c>
      <c r="E162" s="5" t="inlineStr">
        <is>
          <t>젠틀 나잇</t>
        </is>
      </c>
      <c r="F162" s="5" t="inlineStr">
        <is>
          <t>EDP</t>
        </is>
      </c>
      <c r="G162" s="5" t="inlineStr">
        <is>
          <t>Bergamot</t>
        </is>
      </c>
      <c r="H162" s="5" t="inlineStr">
        <is>
          <t>Tea, Fig, Suede</t>
        </is>
      </c>
      <c r="I162" s="5" t="inlineStr">
        <is>
          <t>Oakmoss, Cedar, Musk, Vanilla</t>
        </is>
      </c>
      <c r="J162" s="6" t="inlineStr">
        <is>
          <t>https://nonfiction.kr/product/detail.html?product_no=17</t>
        </is>
      </c>
      <c r="K162" s="5" t="inlineStr">
        <is>
          <t>woody</t>
        </is>
      </c>
      <c r="L162" s="5" t="inlineStr">
        <is>
          <t>green, floral</t>
        </is>
      </c>
      <c r="M162" s="5" t="inlineStr">
        <is>
          <t>calm, soft, cozy, warm</t>
        </is>
      </c>
      <c r="N162" s="5" t="n"/>
      <c r="O162" s="5" t="inlineStr">
        <is>
          <t>medium</t>
        </is>
      </c>
      <c r="P162" s="5" t="inlineStr">
        <is>
          <t>low</t>
        </is>
      </c>
      <c r="Q162" s="5" t="inlineStr">
        <is>
          <t>사계절 · 휴식</t>
        </is>
      </c>
      <c r="R162" s="5" t="inlineStr">
        <is>
          <t>차와 무화과의 맑은 향이 부드럽게 가라앉는 우디</t>
        </is>
      </c>
      <c r="S162" s="5" t="inlineStr">
        <is>
          <t>몇 시간 뒤엔 이끼와 바닐라 머스크가 포근하게 남아요</t>
        </is>
      </c>
      <c r="T162" s="5" t="inlineStr">
        <is>
          <t>차 향의 깨끗함이 스웨이드와 바닐라로 이어지는지 맡아보세요</t>
        </is>
      </c>
      <c r="U162" s="6" t="n">
        <v>100</v>
      </c>
      <c r="V162" s="6" t="n">
        <v>198000</v>
      </c>
      <c r="W162" s="6" t="inlineStr">
        <is>
          <t>2026-10-08</t>
        </is>
      </c>
      <c r="X162" s="6" t="inlineStr">
        <is>
          <t>https://nonfiction.kr/product/detail.html?product_no=17</t>
        </is>
      </c>
      <c r="Y162" s="4" t="inlineStr">
        <is>
          <t>논픽션 올리브영</t>
        </is>
      </c>
      <c r="Z162" s="6" t="inlineStr">
        <is>
          <t>공식몰 · 올리브영 · 편집숍</t>
        </is>
      </c>
      <c r="AA162" s="6" t="inlineStr">
        <is>
          <t>nonfiction-gentle-night.jpg</t>
        </is>
      </c>
      <c r="AB162" s="6" t="inlineStr">
        <is>
          <t>https://nonfiction.kr/product/detail.html?product_no=17</t>
        </is>
      </c>
      <c r="AC162" s="4" t="inlineStr">
        <is>
          <t>AI 초안 (공식 확인 전)</t>
        </is>
      </c>
      <c r="AD162" s="4" t="inlineStr">
        <is>
          <t>노트·농도 공식 확인</t>
        </is>
      </c>
      <c r="AE162" s="6" t="inlineStr">
        <is>
          <t>미확인 (앱에 표시 안 함)</t>
        </is>
      </c>
    </row>
    <row r="163">
      <c r="A163" s="4" t="inlineStr">
        <is>
          <t>nonfiction-santal-cream</t>
        </is>
      </c>
      <c r="B163" s="4" t="inlineStr">
        <is>
          <t>Nonfiction</t>
        </is>
      </c>
      <c r="C163" s="5" t="inlineStr">
        <is>
          <t>논픽션</t>
        </is>
      </c>
      <c r="D163" s="4" t="inlineStr">
        <is>
          <t>Santal Cream</t>
        </is>
      </c>
      <c r="E163" s="5" t="inlineStr">
        <is>
          <t>상탈 크림</t>
        </is>
      </c>
      <c r="F163" s="5" t="inlineStr">
        <is>
          <t>EDP</t>
        </is>
      </c>
      <c r="G163" s="5" t="inlineStr">
        <is>
          <t>Cardamom, Bergamot</t>
        </is>
      </c>
      <c r="H163" s="5" t="inlineStr">
        <is>
          <t>Ginger, Fig</t>
        </is>
      </c>
      <c r="I163" s="5" t="inlineStr">
        <is>
          <t>Sandalwood, Vetiver</t>
        </is>
      </c>
      <c r="J163" s="6" t="inlineStr">
        <is>
          <t>https://nonfiction.kr/product/detail.html?product_no=14</t>
        </is>
      </c>
      <c r="K163" s="5" t="inlineStr">
        <is>
          <t>woody</t>
        </is>
      </c>
      <c r="L163" s="5" t="inlineStr">
        <is>
          <t>spicy</t>
        </is>
      </c>
      <c r="M163" s="5" t="inlineStr">
        <is>
          <t>warm, cozy, calm, deep</t>
        </is>
      </c>
      <c r="N163" s="5" t="n"/>
      <c r="O163" s="5" t="inlineStr">
        <is>
          <t>medium</t>
        </is>
      </c>
      <c r="P163" s="5" t="inlineStr">
        <is>
          <t>low</t>
        </is>
      </c>
      <c r="Q163" s="5" t="inlineStr">
        <is>
          <t>가을·겨울 · 휴식</t>
        </is>
      </c>
      <c r="R163" s="5" t="inlineStr">
        <is>
          <t>카다멈의 산뜻함 뒤에 부드러운 샌달우드가 오는 향</t>
        </is>
      </c>
      <c r="S163" s="5" t="inlineStr">
        <is>
          <t>몇 시간 뒤엔 샌달우드와 베티버가 은은하게 남아요</t>
        </is>
      </c>
      <c r="T163" s="5" t="inlineStr">
        <is>
          <t>향신료가 무겁지 않게 샌달우드로 이어지는지 맡아보세요</t>
        </is>
      </c>
      <c r="U163" s="6" t="n">
        <v>100</v>
      </c>
      <c r="V163" s="6" t="n">
        <v>198000</v>
      </c>
      <c r="W163" s="6" t="inlineStr">
        <is>
          <t>2026-10-08</t>
        </is>
      </c>
      <c r="X163" s="6" t="inlineStr">
        <is>
          <t>https://nonfiction.kr/product/detail.html?product_no=14</t>
        </is>
      </c>
      <c r="Y163" s="4" t="inlineStr">
        <is>
          <t>논픽션 올리브영</t>
        </is>
      </c>
      <c r="Z163" s="6" t="inlineStr">
        <is>
          <t>공식몰 · 올리브영 · 편집숍</t>
        </is>
      </c>
      <c r="AA163" s="6" t="inlineStr">
        <is>
          <t>nonfiction-santal-cream.jpg</t>
        </is>
      </c>
      <c r="AB163" s="6" t="inlineStr">
        <is>
          <t>https://nonfiction.kr/product/detail.html?product_no=14</t>
        </is>
      </c>
      <c r="AC163" s="4" t="inlineStr">
        <is>
          <t>AI 초안 (공식 확인 전)</t>
        </is>
      </c>
      <c r="AD163" s="4" t="inlineStr">
        <is>
          <t>노트·농도 공식 확인</t>
        </is>
      </c>
      <c r="AE163" s="6" t="inlineStr">
        <is>
          <t>미확인 (앱에 표시 안 함)</t>
        </is>
      </c>
    </row>
    <row r="164">
      <c r="A164" s="4" t="inlineStr">
        <is>
          <t>nonfiction-gaiac-flower</t>
        </is>
      </c>
      <c r="B164" s="4" t="inlineStr">
        <is>
          <t>Nonfiction</t>
        </is>
      </c>
      <c r="C164" s="5" t="inlineStr">
        <is>
          <t>논픽션</t>
        </is>
      </c>
      <c r="D164" s="4" t="inlineStr">
        <is>
          <t>Gaiac Flower</t>
        </is>
      </c>
      <c r="E164" s="5" t="inlineStr">
        <is>
          <t>가이악 플라워</t>
        </is>
      </c>
      <c r="F164" s="5" t="inlineStr">
        <is>
          <t>EDP</t>
        </is>
      </c>
      <c r="G164" s="5" t="inlineStr">
        <is>
          <t>Bergamot</t>
        </is>
      </c>
      <c r="H164" s="5" t="inlineStr">
        <is>
          <t>Rose</t>
        </is>
      </c>
      <c r="I164" s="5" t="inlineStr">
        <is>
          <t>Amber, Patchouli, Vanilla, Guaiac Wood</t>
        </is>
      </c>
      <c r="J164" s="6" t="inlineStr">
        <is>
          <t>https://nonfiction.kr/product/detail.html?product_no=18</t>
        </is>
      </c>
      <c r="K164" s="5" t="inlineStr">
        <is>
          <t>amber</t>
        </is>
      </c>
      <c r="L164" s="5" t="inlineStr">
        <is>
          <t>floral, woody</t>
        </is>
      </c>
      <c r="M164" s="5" t="inlineStr">
        <is>
          <t>deep, warm, sensual, cozy, sweet</t>
        </is>
      </c>
      <c r="N164" s="5" t="inlineStr">
        <is>
          <t>smoky</t>
        </is>
      </c>
      <c r="O164" s="5" t="inlineStr">
        <is>
          <t>strong</t>
        </is>
      </c>
      <c r="P164" s="5" t="inlineStr">
        <is>
          <t>high</t>
        </is>
      </c>
      <c r="Q164" s="5" t="inlineStr">
        <is>
          <t>가을·겨울 · 저녁</t>
        </is>
      </c>
      <c r="R164" s="5" t="inlineStr">
        <is>
          <t>스모키한 우드 사이에 장미가 피어나는 앰버 향</t>
        </is>
      </c>
      <c r="S164" s="5" t="inlineStr">
        <is>
          <t>몇 시간 뒤엔 앰버와 건조한 나무 향이 깊게 남아요</t>
        </is>
      </c>
      <c r="T164" s="5" t="inlineStr">
        <is>
          <t>가이악우드의 스모키함이 부담스럽지 않은지 맡아보세요</t>
        </is>
      </c>
      <c r="U164" s="6" t="n">
        <v>100</v>
      </c>
      <c r="V164" s="6" t="n">
        <v>198000</v>
      </c>
      <c r="W164" s="6" t="inlineStr">
        <is>
          <t>2026-10-08</t>
        </is>
      </c>
      <c r="X164" s="6" t="inlineStr">
        <is>
          <t>https://nonfiction.kr/product/detail.html?product_no=18</t>
        </is>
      </c>
      <c r="Y164" s="4" t="inlineStr">
        <is>
          <t>논픽션 올리브영</t>
        </is>
      </c>
      <c r="Z164" s="6" t="inlineStr">
        <is>
          <t>공식몰 · 올리브영 · 편집숍</t>
        </is>
      </c>
      <c r="AA164" s="6" t="inlineStr">
        <is>
          <t>nonfiction-gaiac-flower.jpg</t>
        </is>
      </c>
      <c r="AB164" s="6" t="inlineStr">
        <is>
          <t>https://nonfiction.kr/product/detail.html?product_no=18</t>
        </is>
      </c>
      <c r="AC164" s="4" t="inlineStr">
        <is>
          <t>AI 초안 (공식 확인 전)</t>
        </is>
      </c>
      <c r="AD164" s="4" t="inlineStr">
        <is>
          <t>노트·농도 공식 확인</t>
        </is>
      </c>
      <c r="AE164" s="6" t="inlineStr">
        <is>
          <t>미확인 (앱에 표시 안 함)</t>
        </is>
      </c>
    </row>
    <row r="165">
      <c r="A165" s="4" t="inlineStr">
        <is>
          <t>lush-dirty</t>
        </is>
      </c>
      <c r="B165" s="4" t="inlineStr">
        <is>
          <t>Lush</t>
        </is>
      </c>
      <c r="C165" s="5" t="inlineStr">
        <is>
          <t>러쉬</t>
        </is>
      </c>
      <c r="D165" s="4" t="inlineStr">
        <is>
          <t>Dirty</t>
        </is>
      </c>
      <c r="E165" s="5" t="inlineStr">
        <is>
          <t>더티</t>
        </is>
      </c>
      <c r="F165" s="5" t="n"/>
      <c r="G165" s="5" t="inlineStr">
        <is>
          <t>Mint</t>
        </is>
      </c>
      <c r="H165" s="5" t="inlineStr">
        <is>
          <t>Lavender, Orange Blossom</t>
        </is>
      </c>
      <c r="I165" s="5" t="inlineStr">
        <is>
          <t>Sandalwood</t>
        </is>
      </c>
      <c r="J165" s="6" t="inlineStr">
        <is>
          <t>https://www.lush.co.kr/m/products/view/300</t>
        </is>
      </c>
      <c r="K165" s="5" t="inlineStr">
        <is>
          <t>aromatic</t>
        </is>
      </c>
      <c r="L165" s="5" t="inlineStr">
        <is>
          <t>woody, citrus</t>
        </is>
      </c>
      <c r="M165" s="5" t="inlineStr">
        <is>
          <t>fresh, clean, cool, calm</t>
        </is>
      </c>
      <c r="N165" s="5" t="n"/>
      <c r="O165" s="5" t="inlineStr">
        <is>
          <t>medium</t>
        </is>
      </c>
      <c r="P165" s="5" t="inlineStr">
        <is>
          <t>mid</t>
        </is>
      </c>
      <c r="Q165" s="5" t="inlineStr">
        <is>
          <t>봄·여름 · 데일리</t>
        </is>
      </c>
      <c r="R165" s="5" t="inlineStr">
        <is>
          <t>스피어민트와 허브가 시원하게 퍼지는 향</t>
        </is>
      </c>
      <c r="S165" s="5" t="inlineStr">
        <is>
          <t>몇 시간 뒤엔 샌달우드가 깔끔하게 남아요</t>
        </is>
      </c>
      <c r="T165" s="5" t="inlineStr">
        <is>
          <t>민트와 허브의 시원함이 샌달우드로 이어지는지 맡아보세요</t>
        </is>
      </c>
      <c r="U165" s="6" t="n">
        <v>30</v>
      </c>
      <c r="V165" s="6" t="n">
        <v>70000</v>
      </c>
      <c r="W165" s="6" t="inlineStr">
        <is>
          <t>2026-10-08</t>
        </is>
      </c>
      <c r="X165" s="6" t="inlineStr">
        <is>
          <t>https://www.lush.co.kr/m/products/view/300</t>
        </is>
      </c>
      <c r="Y165" s="4" t="inlineStr">
        <is>
          <t>러쉬 매장</t>
        </is>
      </c>
      <c r="Z165" s="6" t="inlineStr">
        <is>
          <t>브랜드 매장 · 공식몰</t>
        </is>
      </c>
      <c r="AA165" s="6" t="inlineStr">
        <is>
          <t>lush-dirty.png</t>
        </is>
      </c>
      <c r="AB165" s="6" t="inlineStr">
        <is>
          <t>https://www.lush.co.kr/m/products/view/300</t>
        </is>
      </c>
      <c r="AC165" s="4" t="inlineStr">
        <is>
          <t>AI 초안 (공식 확인 전)</t>
        </is>
      </c>
      <c r="AD165" s="4" t="inlineStr">
        <is>
          <t>노트·농도 공식 확인</t>
        </is>
      </c>
      <c r="AE165" s="6" t="inlineStr">
        <is>
          <t>높음 (앱에 표시)</t>
        </is>
      </c>
    </row>
    <row r="166">
      <c r="A166" s="4" t="inlineStr">
        <is>
          <t>jo-malone-lime-basil-mandarin</t>
        </is>
      </c>
      <c r="B166" s="4" t="inlineStr">
        <is>
          <t>Jo Malone London</t>
        </is>
      </c>
      <c r="C166" s="5" t="inlineStr">
        <is>
          <t>조 말론 런던</t>
        </is>
      </c>
      <c r="D166" s="4" t="inlineStr">
        <is>
          <t>Lime Basil &amp; Mandarin</t>
        </is>
      </c>
      <c r="E166" s="5" t="inlineStr">
        <is>
          <t>라임 바질 앤 만다린</t>
        </is>
      </c>
      <c r="F166" s="5" t="inlineStr">
        <is>
          <t>Cologne</t>
        </is>
      </c>
      <c r="G166" s="5" t="inlineStr">
        <is>
          <t>Lime, Mandarin</t>
        </is>
      </c>
      <c r="H166" s="5" t="inlineStr">
        <is>
          <t>Basil</t>
        </is>
      </c>
      <c r="I166" s="5" t="inlineStr">
        <is>
          <t>Amberwood</t>
        </is>
      </c>
      <c r="J166" s="6" t="n"/>
      <c r="K166" s="5" t="inlineStr">
        <is>
          <t>citrus</t>
        </is>
      </c>
      <c r="L166" s="5" t="inlineStr">
        <is>
          <t>green</t>
        </is>
      </c>
      <c r="M166" s="5" t="inlineStr">
        <is>
          <t>zesty, fresh, cool, clean</t>
        </is>
      </c>
      <c r="N166" s="5" t="n"/>
      <c r="O166" s="5" t="inlineStr">
        <is>
          <t>light</t>
        </is>
      </c>
      <c r="P166" s="5" t="inlineStr">
        <is>
          <t>low</t>
        </is>
      </c>
      <c r="Q166" s="5" t="inlineStr">
        <is>
          <t>봄·여름 · 휴가</t>
        </is>
      </c>
      <c r="R166" s="5" t="inlineStr">
        <is>
          <t>라임과 바질이 톡 쏘는 시원한 시트러스</t>
        </is>
      </c>
      <c r="S166" s="5" t="inlineStr">
        <is>
          <t>몇 시간 뒤엔 가벼운 우디 향이 살짝 남아요</t>
        </is>
      </c>
      <c r="T166" s="5" t="inlineStr">
        <is>
          <t>라임의 상큼함 뒤에 바질의 허브 향이 느껴지는지 맡아보세요</t>
        </is>
      </c>
      <c r="U166" s="6" t="n"/>
      <c r="V166" s="6" t="n"/>
      <c r="W166" s="6" t="n"/>
      <c r="X166" s="6" t="n"/>
      <c r="Y166" s="4" t="inlineStr">
        <is>
          <t>조 말론 백화점</t>
        </is>
      </c>
      <c r="Z166" s="6" t="inlineStr">
        <is>
          <t>백화점, 브랜드 매장</t>
        </is>
      </c>
      <c r="AA166" s="6" t="n"/>
      <c r="AB166" s="6" t="n"/>
      <c r="AC166" s="4" t="inlineStr">
        <is>
          <t>AI 초안 (공식 확인 전)</t>
        </is>
      </c>
      <c r="AD166" s="4" t="inlineStr">
        <is>
          <t>노트·농도 공식 확인 / 국내 정가 / 이미지</t>
        </is>
      </c>
      <c r="AE166" s="6" t="inlineStr">
        <is>
          <t>보통 (앱에 표시)</t>
        </is>
      </c>
    </row>
    <row r="167">
      <c r="A167" s="4" t="inlineStr">
        <is>
          <t>jo-malone-blackberry-bay</t>
        </is>
      </c>
      <c r="B167" s="4" t="inlineStr">
        <is>
          <t>Jo Malone London</t>
        </is>
      </c>
      <c r="C167" s="5" t="inlineStr">
        <is>
          <t>조 말론 런던</t>
        </is>
      </c>
      <c r="D167" s="4" t="inlineStr">
        <is>
          <t>Blackberry &amp; Bay</t>
        </is>
      </c>
      <c r="E167" s="5" t="inlineStr">
        <is>
          <t>블랙베리 앤 베이</t>
        </is>
      </c>
      <c r="F167" s="5" t="inlineStr">
        <is>
          <t>Cologne</t>
        </is>
      </c>
      <c r="G167" s="5" t="inlineStr">
        <is>
          <t>Blackberry</t>
        </is>
      </c>
      <c r="H167" s="5" t="n"/>
      <c r="I167" s="5" t="inlineStr">
        <is>
          <t>Cedar, Musk</t>
        </is>
      </c>
      <c r="J167" s="6" t="n"/>
      <c r="K167" s="5" t="inlineStr">
        <is>
          <t>fruity</t>
        </is>
      </c>
      <c r="L167" s="5" t="inlineStr">
        <is>
          <t>woody</t>
        </is>
      </c>
      <c r="M167" s="5" t="inlineStr">
        <is>
          <t>fresh, zesty, sweet, lovely</t>
        </is>
      </c>
      <c r="N167" s="5" t="n"/>
      <c r="O167" s="5" t="inlineStr">
        <is>
          <t>light</t>
        </is>
      </c>
      <c r="P167" s="5" t="inlineStr">
        <is>
          <t>low</t>
        </is>
      </c>
      <c r="Q167" s="5" t="inlineStr">
        <is>
          <t>사계절 · 데일리</t>
        </is>
      </c>
      <c r="R167" s="5" t="inlineStr">
        <is>
          <t>새콤한 블랙베리에 숲 향이 섞인 과일 향</t>
        </is>
      </c>
      <c r="S167" s="5" t="inlineStr">
        <is>
          <t>몇 시간 뒤엔 은은한 나무 향이 가볍게 남아요</t>
        </is>
      </c>
      <c r="T167" s="5" t="inlineStr">
        <is>
          <t>블랙베리의 새콤함이 나무 향으로 이어지는지 맡아보세요</t>
        </is>
      </c>
      <c r="U167" s="6" t="n"/>
      <c r="V167" s="6" t="n"/>
      <c r="W167" s="6" t="n"/>
      <c r="X167" s="6" t="n"/>
      <c r="Y167" s="4" t="inlineStr">
        <is>
          <t>조 말론 백화점</t>
        </is>
      </c>
      <c r="Z167" s="6" t="inlineStr">
        <is>
          <t>백화점, 브랜드 매장</t>
        </is>
      </c>
      <c r="AA167" s="6" t="n"/>
      <c r="AB167" s="6" t="n"/>
      <c r="AC167" s="4" t="inlineStr">
        <is>
          <t>AI 초안 (공식 확인 전)</t>
        </is>
      </c>
      <c r="AD167" s="4" t="inlineStr">
        <is>
          <t>노트·농도 공식 확인 / 국내 정가 / 이미지</t>
        </is>
      </c>
      <c r="AE167" s="6" t="inlineStr">
        <is>
          <t>보통 (앱에 표시)</t>
        </is>
      </c>
    </row>
    <row r="168">
      <c r="A168" s="4" t="inlineStr">
        <is>
          <t>jo-malone-earl-grey-cucumber</t>
        </is>
      </c>
      <c r="B168" s="4" t="inlineStr">
        <is>
          <t>Jo Malone London</t>
        </is>
      </c>
      <c r="C168" s="5" t="inlineStr">
        <is>
          <t>조 말론 런던</t>
        </is>
      </c>
      <c r="D168" s="4" t="inlineStr">
        <is>
          <t>Earl Grey &amp; Cucumber</t>
        </is>
      </c>
      <c r="E168" s="5" t="inlineStr">
        <is>
          <t>얼 그레이 앤 큐컴버</t>
        </is>
      </c>
      <c r="F168" s="5" t="inlineStr">
        <is>
          <t>Cologne</t>
        </is>
      </c>
      <c r="G168" s="5" t="inlineStr">
        <is>
          <t>Bergamot, Cucumber</t>
        </is>
      </c>
      <c r="H168" s="5" t="inlineStr">
        <is>
          <t>Tea</t>
        </is>
      </c>
      <c r="I168" s="5" t="inlineStr">
        <is>
          <t>Vetiver, Musk</t>
        </is>
      </c>
      <c r="J168" s="6" t="n"/>
      <c r="K168" s="5" t="inlineStr">
        <is>
          <t>aromatic</t>
        </is>
      </c>
      <c r="L168" s="5" t="inlineStr">
        <is>
          <t>citrus</t>
        </is>
      </c>
      <c r="M168" s="5" t="inlineStr">
        <is>
          <t>clean, fresh, calm, cool</t>
        </is>
      </c>
      <c r="N168" s="5" t="n"/>
      <c r="O168" s="5" t="inlineStr">
        <is>
          <t>light</t>
        </is>
      </c>
      <c r="P168" s="5" t="inlineStr">
        <is>
          <t>low</t>
        </is>
      </c>
      <c r="Q168" s="5" t="inlineStr">
        <is>
          <t>봄·여름 · 출근</t>
        </is>
      </c>
      <c r="R168" s="5" t="inlineStr">
        <is>
          <t>홍차와 오이가 어우러진 산뜻한 티 향</t>
        </is>
      </c>
      <c r="S168" s="5" t="inlineStr">
        <is>
          <t>몇 시간 뒤엔 깨끗한 머스크가 부드럽게 남아요</t>
        </is>
      </c>
      <c r="T168" s="5" t="inlineStr">
        <is>
          <t>홍차 향 위에 오이의 시원함이 겹쳐지는지 맡아보세요</t>
        </is>
      </c>
      <c r="U168" s="6" t="n"/>
      <c r="V168" s="6" t="n"/>
      <c r="W168" s="6" t="n"/>
      <c r="X168" s="6" t="n"/>
      <c r="Y168" s="4" t="inlineStr">
        <is>
          <t>조 말론 백화점</t>
        </is>
      </c>
      <c r="Z168" s="6" t="inlineStr">
        <is>
          <t>백화점, 브랜드 매장</t>
        </is>
      </c>
      <c r="AA168" s="6" t="n"/>
      <c r="AB168" s="6" t="n"/>
      <c r="AC168" s="4" t="inlineStr">
        <is>
          <t>AI 초안 (공식 확인 전)</t>
        </is>
      </c>
      <c r="AD168" s="4" t="inlineStr">
        <is>
          <t>노트·농도 공식 확인 / 국내 정가 / 이미지</t>
        </is>
      </c>
      <c r="AE168" s="6" t="inlineStr">
        <is>
          <t>보통 (앱에 표시)</t>
        </is>
      </c>
    </row>
    <row r="169">
      <c r="A169" s="4" t="inlineStr">
        <is>
          <t>jo-malone-nectarine-blossom-honey</t>
        </is>
      </c>
      <c r="B169" s="4" t="inlineStr">
        <is>
          <t>Jo Malone London</t>
        </is>
      </c>
      <c r="C169" s="5" t="inlineStr">
        <is>
          <t>조 말론 런던</t>
        </is>
      </c>
      <c r="D169" s="4" t="inlineStr">
        <is>
          <t>Nectarine Blossom &amp; Honey</t>
        </is>
      </c>
      <c r="E169" s="5" t="inlineStr">
        <is>
          <t>넥타린 블로썸 앤 허니</t>
        </is>
      </c>
      <c r="F169" s="5" t="inlineStr">
        <is>
          <t>Cologne</t>
        </is>
      </c>
      <c r="G169" s="5" t="inlineStr">
        <is>
          <t>Peach, Grapefruit</t>
        </is>
      </c>
      <c r="H169" s="5" t="inlineStr">
        <is>
          <t>Honey, Jasmine, Peony</t>
        </is>
      </c>
      <c r="I169" s="5" t="inlineStr">
        <is>
          <t>Musk</t>
        </is>
      </c>
      <c r="J169" s="6" t="n"/>
      <c r="K169" s="5" t="inlineStr">
        <is>
          <t>fruity</t>
        </is>
      </c>
      <c r="L169" s="5" t="inlineStr">
        <is>
          <t>floral</t>
        </is>
      </c>
      <c r="M169" s="5" t="inlineStr">
        <is>
          <t>lovely, sweet, soft, fresh</t>
        </is>
      </c>
      <c r="N169" s="5" t="n"/>
      <c r="O169" s="5" t="inlineStr">
        <is>
          <t>medium</t>
        </is>
      </c>
      <c r="P169" s="5" t="inlineStr">
        <is>
          <t>low</t>
        </is>
      </c>
      <c r="Q169" s="5" t="inlineStr">
        <is>
          <t>봄·가을 · 데이트</t>
        </is>
      </c>
      <c r="R169" s="5" t="inlineStr">
        <is>
          <t>복숭아와 꿀이 어우러진 달콤한 과일 꽃향</t>
        </is>
      </c>
      <c r="S169" s="5" t="inlineStr">
        <is>
          <t>몇 시간 뒤엔 보송한 머스크가 부드럽게 남아요</t>
        </is>
      </c>
      <c r="T169" s="5" t="inlineStr">
        <is>
          <t>복숭아의 달콤함이 꿀 향으로 번지는지 맡아보세요</t>
        </is>
      </c>
      <c r="U169" s="6" t="n"/>
      <c r="V169" s="6" t="n"/>
      <c r="W169" s="6" t="n"/>
      <c r="X169" s="6" t="n"/>
      <c r="Y169" s="4" t="inlineStr">
        <is>
          <t>조 말론 백화점</t>
        </is>
      </c>
      <c r="Z169" s="6" t="inlineStr">
        <is>
          <t>백화점, 브랜드 매장</t>
        </is>
      </c>
      <c r="AA169" s="6" t="n"/>
      <c r="AB169" s="6" t="n"/>
      <c r="AC169" s="4" t="inlineStr">
        <is>
          <t>AI 초안 (공식 확인 전)</t>
        </is>
      </c>
      <c r="AD169" s="4" t="inlineStr">
        <is>
          <t>노트·농도 공식 확인 / 국내 정가 / 이미지</t>
        </is>
      </c>
      <c r="AE169" s="6" t="inlineStr">
        <is>
          <t>보통 (앱에 표시)</t>
        </is>
      </c>
    </row>
    <row r="170">
      <c r="A170" s="4" t="inlineStr">
        <is>
          <t>jo-malone-velvet-rose-oud</t>
        </is>
      </c>
      <c r="B170" s="4" t="inlineStr">
        <is>
          <t>Jo Malone London</t>
        </is>
      </c>
      <c r="C170" s="5" t="inlineStr">
        <is>
          <t>조 말론 런던</t>
        </is>
      </c>
      <c r="D170" s="4" t="inlineStr">
        <is>
          <t>Velvet Rose &amp; Oud</t>
        </is>
      </c>
      <c r="E170" s="5" t="inlineStr">
        <is>
          <t>벨벳 로즈 앤 오드</t>
        </is>
      </c>
      <c r="F170" s="5" t="inlineStr">
        <is>
          <t>Cologne</t>
        </is>
      </c>
      <c r="G170" s="5" t="inlineStr">
        <is>
          <t>Clove, Pink Pepper</t>
        </is>
      </c>
      <c r="H170" s="5" t="inlineStr">
        <is>
          <t>Rose</t>
        </is>
      </c>
      <c r="I170" s="5" t="inlineStr">
        <is>
          <t>Oud, Patchouli</t>
        </is>
      </c>
      <c r="J170" s="6" t="n"/>
      <c r="K170" s="5" t="inlineStr">
        <is>
          <t>floral</t>
        </is>
      </c>
      <c r="L170" s="5" t="inlineStr">
        <is>
          <t>woody, spicy</t>
        </is>
      </c>
      <c r="M170" s="5" t="inlineStr">
        <is>
          <t>deep, sensual, warm, elegant</t>
        </is>
      </c>
      <c r="N170" s="5" t="inlineStr">
        <is>
          <t>smoky</t>
        </is>
      </c>
      <c r="O170" s="5" t="inlineStr">
        <is>
          <t>strong</t>
        </is>
      </c>
      <c r="P170" s="5" t="inlineStr">
        <is>
          <t>high</t>
        </is>
      </c>
      <c r="Q170" s="5" t="inlineStr">
        <is>
          <t>가을·겨울 · 저녁 모임</t>
        </is>
      </c>
      <c r="R170" s="5" t="inlineStr">
        <is>
          <t>짙은 장미에 오드가 깊게 겹친 향</t>
        </is>
      </c>
      <c r="S170" s="5" t="inlineStr">
        <is>
          <t>몇 시간 뒤엔 어두운 우디와 패출리가 남아요</t>
        </is>
      </c>
      <c r="T170" s="5" t="inlineStr">
        <is>
          <t>장미 향 아래 오드의 묵직함이 부담스럽지 않은지 맡아보세요</t>
        </is>
      </c>
      <c r="U170" s="6" t="n"/>
      <c r="V170" s="6" t="n"/>
      <c r="W170" s="6" t="n"/>
      <c r="X170" s="6" t="n"/>
      <c r="Y170" s="4" t="inlineStr">
        <is>
          <t>조 말론 백화점</t>
        </is>
      </c>
      <c r="Z170" s="6" t="inlineStr">
        <is>
          <t>백화점, 브랜드 매장</t>
        </is>
      </c>
      <c r="AA170" s="6" t="n"/>
      <c r="AB170" s="6" t="n"/>
      <c r="AC170" s="4" t="inlineStr">
        <is>
          <t>AI 초안 (공식 확인 전)</t>
        </is>
      </c>
      <c r="AD170" s="4" t="inlineStr">
        <is>
          <t>노트·농도 공식 확인 / 국내 정가 / 이미지</t>
        </is>
      </c>
      <c r="AE170" s="6" t="inlineStr">
        <is>
          <t>보통 (앱에 표시)</t>
        </is>
      </c>
    </row>
    <row r="171">
      <c r="A171" s="4" t="inlineStr">
        <is>
          <t>jo-malone-myrrh-tonka</t>
        </is>
      </c>
      <c r="B171" s="4" t="inlineStr">
        <is>
          <t>Jo Malone London</t>
        </is>
      </c>
      <c r="C171" s="5" t="inlineStr">
        <is>
          <t>조 말론 런던</t>
        </is>
      </c>
      <c r="D171" s="4" t="inlineStr">
        <is>
          <t>Myrrh &amp; Tonka</t>
        </is>
      </c>
      <c r="E171" s="5" t="inlineStr">
        <is>
          <t>미르 앤 통카</t>
        </is>
      </c>
      <c r="F171" s="5" t="inlineStr">
        <is>
          <t>Cologne</t>
        </is>
      </c>
      <c r="G171" s="5" t="inlineStr">
        <is>
          <t>Lavender</t>
        </is>
      </c>
      <c r="H171" s="5" t="inlineStr">
        <is>
          <t>Almond</t>
        </is>
      </c>
      <c r="I171" s="5" t="inlineStr">
        <is>
          <t>Tonka Bean, Vanilla</t>
        </is>
      </c>
      <c r="J171" s="6" t="n"/>
      <c r="K171" s="5" t="inlineStr">
        <is>
          <t>gourmand</t>
        </is>
      </c>
      <c r="L171" s="5" t="inlineStr">
        <is>
          <t>amber</t>
        </is>
      </c>
      <c r="M171" s="5" t="inlineStr">
        <is>
          <t>cozy, warm, sweet, sensual</t>
        </is>
      </c>
      <c r="N171" s="5" t="n"/>
      <c r="O171" s="5" t="inlineStr">
        <is>
          <t>strong</t>
        </is>
      </c>
      <c r="P171" s="5" t="inlineStr">
        <is>
          <t>mid</t>
        </is>
      </c>
      <c r="Q171" s="5" t="inlineStr">
        <is>
          <t>가을·겨울 · 저녁</t>
        </is>
      </c>
      <c r="R171" s="5" t="inlineStr">
        <is>
          <t>라벤더와 아몬드, 바닐라의 포근한 단향</t>
        </is>
      </c>
      <c r="S171" s="5" t="inlineStr">
        <is>
          <t>몇 시간 뒤엔 따뜻한 통카빈과 바닐라가 남아요</t>
        </is>
      </c>
      <c r="T171" s="5" t="inlineStr">
        <is>
          <t>아몬드의 고소함이 바닐라로 이어지는지 맡아보세요</t>
        </is>
      </c>
      <c r="U171" s="6" t="n"/>
      <c r="V171" s="6" t="n"/>
      <c r="W171" s="6" t="n"/>
      <c r="X171" s="6" t="n"/>
      <c r="Y171" s="4" t="inlineStr">
        <is>
          <t>조 말론 백화점</t>
        </is>
      </c>
      <c r="Z171" s="6" t="inlineStr">
        <is>
          <t>백화점, 브랜드 매장</t>
        </is>
      </c>
      <c r="AA171" s="6" t="n"/>
      <c r="AB171" s="6" t="n"/>
      <c r="AC171" s="4" t="inlineStr">
        <is>
          <t>AI 초안 (공식 확인 전)</t>
        </is>
      </c>
      <c r="AD171" s="4" t="inlineStr">
        <is>
          <t>노트·농도 공식 확인 / 국내 정가 / 이미지</t>
        </is>
      </c>
      <c r="AE171" s="6" t="inlineStr">
        <is>
          <t>보통 (앱에 표시)</t>
        </is>
      </c>
    </row>
    <row r="172">
      <c r="A172" s="4" t="inlineStr">
        <is>
          <t>diptyque-l-ombre-dans-l-eau</t>
        </is>
      </c>
      <c r="B172" s="4" t="inlineStr">
        <is>
          <t>Diptyque</t>
        </is>
      </c>
      <c r="C172" s="5" t="inlineStr">
        <is>
          <t>딥티크</t>
        </is>
      </c>
      <c r="D172" s="4" t="inlineStr">
        <is>
          <t>L'Ombre dans l'Eau</t>
        </is>
      </c>
      <c r="E172" s="5" t="inlineStr">
        <is>
          <t>로 옹브르 단 로</t>
        </is>
      </c>
      <c r="F172" s="5" t="inlineStr">
        <is>
          <t>EDT</t>
        </is>
      </c>
      <c r="G172" s="5" t="inlineStr">
        <is>
          <t>Blackcurrant</t>
        </is>
      </c>
      <c r="H172" s="5" t="inlineStr">
        <is>
          <t>Rose</t>
        </is>
      </c>
      <c r="I172" s="5" t="n"/>
      <c r="J172" s="6" t="inlineStr">
        <is>
          <t>https://us.diptyqueparis.com/en-us/products/eau-de-toilette-ombre-dans-eau-ombre100v2</t>
        </is>
      </c>
      <c r="K172" s="5" t="inlineStr">
        <is>
          <t>green</t>
        </is>
      </c>
      <c r="L172" s="5" t="inlineStr">
        <is>
          <t>floral, fruity</t>
        </is>
      </c>
      <c r="M172" s="5" t="inlineStr">
        <is>
          <t>fresh, lovely, calm, cool</t>
        </is>
      </c>
      <c r="N172" s="5" t="n"/>
      <c r="O172" s="5" t="inlineStr">
        <is>
          <t>medium</t>
        </is>
      </c>
      <c r="P172" s="5" t="inlineStr">
        <is>
          <t>mid</t>
        </is>
      </c>
      <c r="Q172" s="5" t="inlineStr">
        <is>
          <t>봄·여름 · 데일리</t>
        </is>
      </c>
      <c r="R172" s="5" t="inlineStr">
        <is>
          <t>까시스 잎의 초록빛과 장미가 만난 향</t>
        </is>
      </c>
      <c r="S172" s="5" t="inlineStr">
        <is>
          <t>몇 시간 뒤엔 풋풋한 장미 향이 부드럽게 남아요</t>
        </is>
      </c>
      <c r="T172" s="5" t="inlineStr">
        <is>
          <t>까시스의 풋풋함이 장미 향과 어우러지는지 맡아보세요</t>
        </is>
      </c>
      <c r="U172" s="6" t="n"/>
      <c r="V172" s="6" t="n"/>
      <c r="W172" s="6" t="n"/>
      <c r="X172" s="6" t="n"/>
      <c r="Y172" s="4" t="inlineStr">
        <is>
          <t>딥티크 백화점</t>
        </is>
      </c>
      <c r="Z172" s="6" t="inlineStr">
        <is>
          <t>브랜드 매장</t>
        </is>
      </c>
      <c r="AA172" s="6" t="inlineStr">
        <is>
          <t>diptyque-l-ombre-dans-l-eau.jpg</t>
        </is>
      </c>
      <c r="AB172" s="6" t="inlineStr">
        <is>
          <t>https://us.diptyqueparis.com/en-us/products/eau-de-toilette-ombre-dans-eau-ombre100v2</t>
        </is>
      </c>
      <c r="AC172" s="4" t="inlineStr">
        <is>
          <t>AI 초안 (공식 확인 전)</t>
        </is>
      </c>
      <c r="AD172" s="4" t="inlineStr">
        <is>
          <t>노트·농도 공식 확인 / 국내 정가</t>
        </is>
      </c>
      <c r="AE172" s="6" t="inlineStr">
        <is>
          <t>높음 (앱에 표시)</t>
        </is>
      </c>
    </row>
    <row r="173">
      <c r="A173" s="4" t="inlineStr">
        <is>
          <t>diptyque-eau-rose</t>
        </is>
      </c>
      <c r="B173" s="4" t="inlineStr">
        <is>
          <t>Diptyque</t>
        </is>
      </c>
      <c r="C173" s="5" t="inlineStr">
        <is>
          <t>딥티크</t>
        </is>
      </c>
      <c r="D173" s="4" t="inlineStr">
        <is>
          <t>Eau Rose</t>
        </is>
      </c>
      <c r="E173" s="5" t="inlineStr">
        <is>
          <t>오 로즈</t>
        </is>
      </c>
      <c r="F173" s="5" t="inlineStr">
        <is>
          <t>EDT</t>
        </is>
      </c>
      <c r="G173" s="5" t="inlineStr">
        <is>
          <t>Lychee</t>
        </is>
      </c>
      <c r="H173" s="5" t="inlineStr">
        <is>
          <t>Rose, Damask Rose</t>
        </is>
      </c>
      <c r="I173" s="5" t="inlineStr">
        <is>
          <t>Ambroxan</t>
        </is>
      </c>
      <c r="J173" s="6" t="inlineStr">
        <is>
          <t>https://us.diptyqueparis.com/en-us/products/eau-de-toilette-eau-rose-rose100v2</t>
        </is>
      </c>
      <c r="K173" s="5" t="inlineStr">
        <is>
          <t>floral</t>
        </is>
      </c>
      <c r="L173" s="5" t="inlineStr">
        <is>
          <t>fruity</t>
        </is>
      </c>
      <c r="M173" s="5" t="inlineStr">
        <is>
          <t>lovely, fresh, elegant</t>
        </is>
      </c>
      <c r="N173" s="5" t="n"/>
      <c r="O173" s="5" t="inlineStr">
        <is>
          <t>medium</t>
        </is>
      </c>
      <c r="P173" s="5" t="inlineStr">
        <is>
          <t>low</t>
        </is>
      </c>
      <c r="Q173" s="5" t="inlineStr">
        <is>
          <t>봄·여름 · 데이트</t>
        </is>
      </c>
      <c r="R173" s="5" t="inlineStr">
        <is>
          <t>리치가 살짝 얹힌 맑고 싱그러운 장미 향</t>
        </is>
      </c>
      <c r="S173" s="5" t="inlineStr">
        <is>
          <t>몇 시간 뒤엔 투명한 장미와 앰브록산이 남아요</t>
        </is>
      </c>
      <c r="T173" s="5" t="inlineStr">
        <is>
          <t>장미의 풋풋함과 리치 향이 어울리는지 맡아보세요</t>
        </is>
      </c>
      <c r="U173" s="6" t="n"/>
      <c r="V173" s="6" t="n"/>
      <c r="W173" s="6" t="n"/>
      <c r="X173" s="6" t="n"/>
      <c r="Y173" s="4" t="inlineStr">
        <is>
          <t>딥티크 백화점</t>
        </is>
      </c>
      <c r="Z173" s="6" t="inlineStr">
        <is>
          <t>브랜드 매장</t>
        </is>
      </c>
      <c r="AA173" s="6" t="inlineStr">
        <is>
          <t>diptyque-eau-rose.jpg</t>
        </is>
      </c>
      <c r="AB173" s="6" t="inlineStr">
        <is>
          <t>https://us.diptyqueparis.com/en-us/products/eau-de-toilette-eau-rose-rose100v2</t>
        </is>
      </c>
      <c r="AC173" s="4" t="inlineStr">
        <is>
          <t>AI 초안 (공식 확인 전)</t>
        </is>
      </c>
      <c r="AD173" s="4" t="inlineStr">
        <is>
          <t>노트·농도 공식 확인 / 국내 정가</t>
        </is>
      </c>
      <c r="AE173" s="6" t="inlineStr">
        <is>
          <t>높음 (앱에 표시)</t>
        </is>
      </c>
    </row>
    <row r="174">
      <c r="A174" s="4" t="inlineStr">
        <is>
          <t>diptyque-oyedo</t>
        </is>
      </c>
      <c r="B174" s="4" t="inlineStr">
        <is>
          <t>Diptyque</t>
        </is>
      </c>
      <c r="C174" s="5" t="inlineStr">
        <is>
          <t>딥티크</t>
        </is>
      </c>
      <c r="D174" s="4" t="inlineStr">
        <is>
          <t>Oyédo</t>
        </is>
      </c>
      <c r="E174" s="5" t="inlineStr">
        <is>
          <t>오예도</t>
        </is>
      </c>
      <c r="F174" s="5" t="inlineStr">
        <is>
          <t>EDT</t>
        </is>
      </c>
      <c r="G174" s="5" t="inlineStr">
        <is>
          <t>Yuzu, Mandarin</t>
        </is>
      </c>
      <c r="H174" s="5" t="inlineStr">
        <is>
          <t>Raspberry</t>
        </is>
      </c>
      <c r="I174" s="5" t="n"/>
      <c r="J174" s="6" t="inlineStr">
        <is>
          <t>https://us.diptyqueparis.com/en-us/products/eau-de-toilette-oyedo-oyedo100v3</t>
        </is>
      </c>
      <c r="K174" s="5" t="inlineStr">
        <is>
          <t>citrus</t>
        </is>
      </c>
      <c r="L174" s="5" t="inlineStr">
        <is>
          <t>aromatic</t>
        </is>
      </c>
      <c r="M174" s="5" t="inlineStr">
        <is>
          <t>zesty, fresh, cool, clean</t>
        </is>
      </c>
      <c r="N174" s="5" t="n"/>
      <c r="O174" s="5" t="inlineStr">
        <is>
          <t>medium</t>
        </is>
      </c>
      <c r="P174" s="5" t="inlineStr">
        <is>
          <t>low</t>
        </is>
      </c>
      <c r="Q174" s="5" t="inlineStr">
        <is>
          <t>봄·여름 · 출근</t>
        </is>
      </c>
      <c r="R174" s="5" t="inlineStr">
        <is>
          <t>유자와 라즈베리가 톡 터지는 시트러스</t>
        </is>
      </c>
      <c r="S174" s="5" t="inlineStr">
        <is>
          <t>몇 시간 뒤엔 가벼운 허브 같은 잔향이 남아요</t>
        </is>
      </c>
      <c r="T174" s="5" t="inlineStr">
        <is>
          <t>유자의 새콤함 뒤에 라즈베리가 느껴지는지 맡아보세요</t>
        </is>
      </c>
      <c r="U174" s="6" t="n"/>
      <c r="V174" s="6" t="n"/>
      <c r="W174" s="6" t="n"/>
      <c r="X174" s="6" t="n"/>
      <c r="Y174" s="4" t="inlineStr">
        <is>
          <t>딥티크 백화점</t>
        </is>
      </c>
      <c r="Z174" s="6" t="inlineStr">
        <is>
          <t>브랜드 매장</t>
        </is>
      </c>
      <c r="AA174" s="6" t="inlineStr">
        <is>
          <t>diptyque-oyedo.jpg</t>
        </is>
      </c>
      <c r="AB174" s="6" t="inlineStr">
        <is>
          <t>https://us.diptyqueparis.com/en-us/products/eau-de-toilette-oyedo-oyedo100v3</t>
        </is>
      </c>
      <c r="AC174" s="4" t="inlineStr">
        <is>
          <t>AI 초안 (공식 확인 전)</t>
        </is>
      </c>
      <c r="AD174" s="4" t="inlineStr">
        <is>
          <t>노트·농도 공식 확인 / 국내 정가</t>
        </is>
      </c>
      <c r="AE174" s="6" t="inlineStr">
        <is>
          <t>높음 (앱에 표시)</t>
        </is>
      </c>
    </row>
    <row r="175">
      <c r="A175" s="4" t="inlineStr">
        <is>
          <t>diptyque-ofresia</t>
        </is>
      </c>
      <c r="B175" s="4" t="inlineStr">
        <is>
          <t>Diptyque</t>
        </is>
      </c>
      <c r="C175" s="5" t="inlineStr">
        <is>
          <t>딥티크</t>
        </is>
      </c>
      <c r="D175" s="4" t="inlineStr">
        <is>
          <t>Ofrésia</t>
        </is>
      </c>
      <c r="E175" s="5" t="inlineStr">
        <is>
          <t>오프레지아</t>
        </is>
      </c>
      <c r="F175" s="5" t="inlineStr">
        <is>
          <t>EDT</t>
        </is>
      </c>
      <c r="G175" s="5" t="inlineStr">
        <is>
          <t>Pepper</t>
        </is>
      </c>
      <c r="H175" s="5" t="inlineStr">
        <is>
          <t>Freesia</t>
        </is>
      </c>
      <c r="I175" s="5" t="inlineStr">
        <is>
          <t>Guaiac Wood</t>
        </is>
      </c>
      <c r="J175" s="6" t="inlineStr">
        <is>
          <t>https://us.diptyqueparis.com/en-us/products/eau-de-toilette-ofresia-ofresia100v2</t>
        </is>
      </c>
      <c r="K175" s="5" t="inlineStr">
        <is>
          <t>floral</t>
        </is>
      </c>
      <c r="L175" s="5" t="inlineStr">
        <is>
          <t>spicy</t>
        </is>
      </c>
      <c r="M175" s="5" t="inlineStr">
        <is>
          <t>fresh, soft, lovely, elegant</t>
        </is>
      </c>
      <c r="N175" s="5" t="n"/>
      <c r="O175" s="5" t="inlineStr">
        <is>
          <t>medium</t>
        </is>
      </c>
      <c r="P175" s="5" t="inlineStr">
        <is>
          <t>mid</t>
        </is>
      </c>
      <c r="Q175" s="5" t="inlineStr">
        <is>
          <t>봄 · 데일리</t>
        </is>
      </c>
      <c r="R175" s="5" t="inlineStr">
        <is>
          <t>프리지아에 후추가 살짝 더해진 꽃향</t>
        </is>
      </c>
      <c r="S175" s="5" t="inlineStr">
        <is>
          <t>몇 시간 뒤엔 부드러운 나무 향이 남아요</t>
        </is>
      </c>
      <c r="T175" s="5" t="inlineStr">
        <is>
          <t>프리지아의 싱그러움 속 후추 느낌을 맡아보세요</t>
        </is>
      </c>
      <c r="U175" s="6" t="n"/>
      <c r="V175" s="6" t="n"/>
      <c r="W175" s="6" t="n"/>
      <c r="X175" s="6" t="n"/>
      <c r="Y175" s="4" t="inlineStr">
        <is>
          <t>딥티크 백화점</t>
        </is>
      </c>
      <c r="Z175" s="6" t="inlineStr">
        <is>
          <t>브랜드 매장</t>
        </is>
      </c>
      <c r="AA175" s="6" t="inlineStr">
        <is>
          <t>diptyque-ofresia.jpg</t>
        </is>
      </c>
      <c r="AB175" s="6" t="inlineStr">
        <is>
          <t>https://us.diptyqueparis.com/en-us/products/eau-de-toilette-ofresia-ofresia100v2</t>
        </is>
      </c>
      <c r="AC175" s="4" t="inlineStr">
        <is>
          <t>AI 초안 (공식 확인 전)</t>
        </is>
      </c>
      <c r="AD175" s="4" t="inlineStr">
        <is>
          <t>노트·농도 공식 확인 / 국내 정가</t>
        </is>
      </c>
      <c r="AE175" s="6" t="inlineStr">
        <is>
          <t>높음 (앱에 표시)</t>
        </is>
      </c>
    </row>
    <row r="176">
      <c r="A176" s="4" t="inlineStr">
        <is>
          <t>diptyque-vetyverio</t>
        </is>
      </c>
      <c r="B176" s="4" t="inlineStr">
        <is>
          <t>Diptyque</t>
        </is>
      </c>
      <c r="C176" s="5" t="inlineStr">
        <is>
          <t>딥티크</t>
        </is>
      </c>
      <c r="D176" s="4" t="inlineStr">
        <is>
          <t>Vetyverio</t>
        </is>
      </c>
      <c r="E176" s="5" t="inlineStr">
        <is>
          <t>베티베리오</t>
        </is>
      </c>
      <c r="F176" s="5" t="inlineStr">
        <is>
          <t>EDT</t>
        </is>
      </c>
      <c r="G176" s="5" t="inlineStr">
        <is>
          <t>Grapefruit</t>
        </is>
      </c>
      <c r="H176" s="5" t="inlineStr">
        <is>
          <t>Rose</t>
        </is>
      </c>
      <c r="I176" s="5" t="inlineStr">
        <is>
          <t>Vetiver</t>
        </is>
      </c>
      <c r="J176" s="6" t="inlineStr">
        <is>
          <t>https://us.diptyqueparis.com/en-us/products/eau-de-toilette-vetyverio-vety100v2</t>
        </is>
      </c>
      <c r="K176" s="5" t="inlineStr">
        <is>
          <t>woody</t>
        </is>
      </c>
      <c r="L176" s="5" t="inlineStr">
        <is>
          <t>citrus, green</t>
        </is>
      </c>
      <c r="M176" s="5" t="inlineStr">
        <is>
          <t>fresh, calm, elegant, deep</t>
        </is>
      </c>
      <c r="N176" s="5" t="n"/>
      <c r="O176" s="5" t="inlineStr">
        <is>
          <t>medium</t>
        </is>
      </c>
      <c r="P176" s="5" t="inlineStr">
        <is>
          <t>mid</t>
        </is>
      </c>
      <c r="Q176" s="5" t="inlineStr">
        <is>
          <t>사계절 · 출근</t>
        </is>
      </c>
      <c r="R176" s="5" t="inlineStr">
        <is>
          <t>자몽이 열리고 베티버가 깊어지는 우디 향</t>
        </is>
      </c>
      <c r="S176" s="5" t="inlineStr">
        <is>
          <t>몇 시간 뒤엔 마른 풀 같은 베티버가 남아요</t>
        </is>
      </c>
      <c r="T176" s="5" t="inlineStr">
        <is>
          <t>베티버의 흙 느낌이 부담스럽지 않은지 맡아보세요</t>
        </is>
      </c>
      <c r="U176" s="6" t="n"/>
      <c r="V176" s="6" t="n"/>
      <c r="W176" s="6" t="n"/>
      <c r="X176" s="6" t="n"/>
      <c r="Y176" s="4" t="inlineStr">
        <is>
          <t>딥티크 백화점</t>
        </is>
      </c>
      <c r="Z176" s="6" t="inlineStr">
        <is>
          <t>브랜드 매장</t>
        </is>
      </c>
      <c r="AA176" s="6" t="inlineStr">
        <is>
          <t>diptyque-vetyverio.jpg</t>
        </is>
      </c>
      <c r="AB176" s="6" t="inlineStr">
        <is>
          <t>https://us.diptyqueparis.com/en-us/products/eau-de-toilette-vetyverio-vety100v2</t>
        </is>
      </c>
      <c r="AC176" s="4" t="inlineStr">
        <is>
          <t>AI 초안 (공식 확인 전)</t>
        </is>
      </c>
      <c r="AD176" s="4" t="inlineStr">
        <is>
          <t>노트·농도 공식 확인 / 국내 정가</t>
        </is>
      </c>
      <c r="AE176" s="6" t="inlineStr">
        <is>
          <t>높음 (앱에 표시)</t>
        </is>
      </c>
    </row>
    <row r="177">
      <c r="A177" s="4" t="inlineStr">
        <is>
          <t>diptyque-l-eau-papier</t>
        </is>
      </c>
      <c r="B177" s="4" t="inlineStr">
        <is>
          <t>Diptyque</t>
        </is>
      </c>
      <c r="C177" s="5" t="inlineStr">
        <is>
          <t>딥티크</t>
        </is>
      </c>
      <c r="D177" s="4" t="inlineStr">
        <is>
          <t>L'Eau Papier</t>
        </is>
      </c>
      <c r="E177" s="5" t="inlineStr">
        <is>
          <t>로 파피에</t>
        </is>
      </c>
      <c r="F177" s="5" t="inlineStr">
        <is>
          <t>EDT</t>
        </is>
      </c>
      <c r="G177" s="5" t="inlineStr">
        <is>
          <t>Mimosa</t>
        </is>
      </c>
      <c r="H177" s="5" t="inlineStr">
        <is>
          <t>White Musk</t>
        </is>
      </c>
      <c r="I177" s="5" t="inlineStr">
        <is>
          <t>Woody Notes</t>
        </is>
      </c>
      <c r="J177" s="6" t="inlineStr">
        <is>
          <t>https://us.diptyqueparis.com/en-us/products/eau-de-toilette-eau-papier-papier100</t>
        </is>
      </c>
      <c r="K177" s="5" t="inlineStr">
        <is>
          <t>musk</t>
        </is>
      </c>
      <c r="L177" s="5" t="inlineStr">
        <is>
          <t>floral</t>
        </is>
      </c>
      <c r="M177" s="5" t="inlineStr">
        <is>
          <t>soft, clean, calm, cozy</t>
        </is>
      </c>
      <c r="N177" s="5" t="n"/>
      <c r="O177" s="5" t="inlineStr">
        <is>
          <t>light</t>
        </is>
      </c>
      <c r="P177" s="5" t="inlineStr">
        <is>
          <t>low</t>
        </is>
      </c>
      <c r="Q177" s="5" t="inlineStr">
        <is>
          <t>사계절 · 데일리</t>
        </is>
      </c>
      <c r="R177" s="5" t="inlineStr">
        <is>
          <t>종이 결 같은 보송한 화이트 머스크</t>
        </is>
      </c>
      <c r="S177" s="5" t="inlineStr">
        <is>
          <t>몇 시간 뒤엔 포근한 머스크가 가까이 남아요</t>
        </is>
      </c>
      <c r="T177" s="5" t="inlineStr">
        <is>
          <t>미모사 위에 보송한 머스크가 얹히는지 맡아보세요</t>
        </is>
      </c>
      <c r="U177" s="6" t="n"/>
      <c r="V177" s="6" t="n"/>
      <c r="W177" s="6" t="n"/>
      <c r="X177" s="6" t="n"/>
      <c r="Y177" s="4" t="inlineStr">
        <is>
          <t>딥티크 백화점</t>
        </is>
      </c>
      <c r="Z177" s="6" t="inlineStr">
        <is>
          <t>브랜드 매장</t>
        </is>
      </c>
      <c r="AA177" s="6" t="inlineStr">
        <is>
          <t>diptyque-l-eau-papier.jpg</t>
        </is>
      </c>
      <c r="AB177" s="6" t="inlineStr">
        <is>
          <t>https://us.diptyqueparis.com/en-us/products/eau-de-toilette-eau-papier-papier100</t>
        </is>
      </c>
      <c r="AC177" s="4" t="inlineStr">
        <is>
          <t>AI 초안 (공식 확인 전)</t>
        </is>
      </c>
      <c r="AD177" s="4" t="inlineStr">
        <is>
          <t>노트·농도 공식 확인 / 국내 정가</t>
        </is>
      </c>
      <c r="AE177" s="6" t="inlineStr">
        <is>
          <t>높음 (앱에 표시)</t>
        </is>
      </c>
    </row>
    <row r="178">
      <c r="A178" s="4" t="inlineStr">
        <is>
          <t>byredo-super-cedar</t>
        </is>
      </c>
      <c r="B178" s="4" t="inlineStr">
        <is>
          <t>Byredo</t>
        </is>
      </c>
      <c r="C178" s="5" t="inlineStr">
        <is>
          <t>바이레도</t>
        </is>
      </c>
      <c r="D178" s="4" t="inlineStr">
        <is>
          <t>Super Cedar</t>
        </is>
      </c>
      <c r="E178" s="5" t="inlineStr">
        <is>
          <t>슈퍼 시더</t>
        </is>
      </c>
      <c r="F178" s="5" t="inlineStr">
        <is>
          <t>EDP</t>
        </is>
      </c>
      <c r="G178" s="5" t="inlineStr">
        <is>
          <t>Rose</t>
        </is>
      </c>
      <c r="H178" s="5" t="inlineStr">
        <is>
          <t>Cedar</t>
        </is>
      </c>
      <c r="I178" s="5" t="inlineStr">
        <is>
          <t>Vetiver, Musk</t>
        </is>
      </c>
      <c r="J178" s="6" t="inlineStr">
        <is>
          <t>https://www.byredo.com/eu_en/p/super-cedar-eau-de-parfum</t>
        </is>
      </c>
      <c r="K178" s="5" t="inlineStr">
        <is>
          <t>woody</t>
        </is>
      </c>
      <c r="L178" s="5" t="inlineStr">
        <is>
          <t>musk</t>
        </is>
      </c>
      <c r="M178" s="5" t="inlineStr">
        <is>
          <t>calm, soft, warm, elegant</t>
        </is>
      </c>
      <c r="N178" s="5" t="n"/>
      <c r="O178" s="5" t="inlineStr">
        <is>
          <t>medium</t>
        </is>
      </c>
      <c r="P178" s="5" t="inlineStr">
        <is>
          <t>mid</t>
        </is>
      </c>
      <c r="Q178" s="5" t="inlineStr">
        <is>
          <t>사계절 · 출근</t>
        </is>
      </c>
      <c r="R178" s="5" t="inlineStr">
        <is>
          <t>연필심을 깎은 듯한 건조한 시더 향</t>
        </is>
      </c>
      <c r="S178" s="5" t="inlineStr">
        <is>
          <t>몇 시간 뒤엔 베티버와 머스크가 차분히 남아요</t>
        </is>
      </c>
      <c r="T178" s="5" t="inlineStr">
        <is>
          <t>시더의 건조함이 장미와 어울리는지 맡아보세요</t>
        </is>
      </c>
      <c r="U178" s="6" t="n"/>
      <c r="V178" s="6" t="n"/>
      <c r="W178" s="6" t="n"/>
      <c r="X178" s="6" t="n"/>
      <c r="Y178" s="4" t="inlineStr">
        <is>
          <t>바이레도 백화점</t>
        </is>
      </c>
      <c r="Z178" s="6" t="inlineStr">
        <is>
          <t>[확인 필요]</t>
        </is>
      </c>
      <c r="AA178" s="6" t="inlineStr">
        <is>
          <t>byredo-super-cedar.jpg</t>
        </is>
      </c>
      <c r="AB178" s="6" t="inlineStr">
        <is>
          <t>https://www.byredo.com/eu_en/p/super-cedar-eau-de-parfum</t>
        </is>
      </c>
      <c r="AC178" s="4" t="inlineStr">
        <is>
          <t>AI 초안 (공식 확인 전)</t>
        </is>
      </c>
      <c r="AD178" s="4" t="inlineStr">
        <is>
          <t>노트·농도 공식 확인 / 국내 정가</t>
        </is>
      </c>
      <c r="AE178" s="6" t="inlineStr">
        <is>
          <t>미확인</t>
        </is>
      </c>
    </row>
    <row r="179">
      <c r="A179" s="4" t="inlineStr">
        <is>
          <t>byredo-sunday-cologne</t>
        </is>
      </c>
      <c r="B179" s="4" t="inlineStr">
        <is>
          <t>Byredo</t>
        </is>
      </c>
      <c r="C179" s="5" t="inlineStr">
        <is>
          <t>바이레도</t>
        </is>
      </c>
      <c r="D179" s="4" t="inlineStr">
        <is>
          <t>Sunday Cologne</t>
        </is>
      </c>
      <c r="E179" s="5" t="inlineStr">
        <is>
          <t>선데이 코롱</t>
        </is>
      </c>
      <c r="F179" s="5" t="inlineStr">
        <is>
          <t>EDP</t>
        </is>
      </c>
      <c r="G179" s="5" t="inlineStr">
        <is>
          <t>Bergamot, Cardamom</t>
        </is>
      </c>
      <c r="H179" s="5" t="inlineStr">
        <is>
          <t>Incense, Geranium, Lavender</t>
        </is>
      </c>
      <c r="I179" s="5" t="inlineStr">
        <is>
          <t>Patchouli, Vetiver, Oakmoss</t>
        </is>
      </c>
      <c r="J179" s="6" t="inlineStr">
        <is>
          <t>https://www.byredo.com/eu_en/p/sunday-cologne-eau-de-parfum</t>
        </is>
      </c>
      <c r="K179" s="5" t="inlineStr">
        <is>
          <t>citrus</t>
        </is>
      </c>
      <c r="L179" s="5" t="inlineStr">
        <is>
          <t>aromatic</t>
        </is>
      </c>
      <c r="M179" s="5" t="inlineStr">
        <is>
          <t>fresh, calm, clean, cool, zesty</t>
        </is>
      </c>
      <c r="N179" s="5" t="n"/>
      <c r="O179" s="5" t="inlineStr">
        <is>
          <t>medium</t>
        </is>
      </c>
      <c r="P179" s="5" t="inlineStr">
        <is>
          <t>low</t>
        </is>
      </c>
      <c r="Q179" s="5" t="inlineStr">
        <is>
          <t>사계절 · 주말</t>
        </is>
      </c>
      <c r="R179" s="5" t="inlineStr">
        <is>
          <t>베르가못과 허브가 어우러진 느슨한 코롱</t>
        </is>
      </c>
      <c r="S179" s="5" t="inlineStr">
        <is>
          <t>몇 시간 뒤엔 이끼와 베티버가 차분히 남아요</t>
        </is>
      </c>
      <c r="T179" s="5" t="inlineStr">
        <is>
          <t>시트러스 뒤에 향 연기가 느껴지는지 맡아보세요</t>
        </is>
      </c>
      <c r="U179" s="6" t="n"/>
      <c r="V179" s="6" t="n"/>
      <c r="W179" s="6" t="n"/>
      <c r="X179" s="6" t="n"/>
      <c r="Y179" s="4" t="inlineStr">
        <is>
          <t>바이레도 백화점</t>
        </is>
      </c>
      <c r="Z179" s="6" t="inlineStr">
        <is>
          <t>[확인 필요]</t>
        </is>
      </c>
      <c r="AA179" s="6" t="inlineStr">
        <is>
          <t>byredo-sunday-cologne.jpg</t>
        </is>
      </c>
      <c r="AB179" s="6" t="inlineStr">
        <is>
          <t>https://www.byredo.com/eu_en/p/sunday-cologne-eau-de-parfum</t>
        </is>
      </c>
      <c r="AC179" s="4" t="inlineStr">
        <is>
          <t>AI 초안 (공식 확인 전)</t>
        </is>
      </c>
      <c r="AD179" s="4" t="inlineStr">
        <is>
          <t>노트·농도 공식 확인 / 국내 정가</t>
        </is>
      </c>
      <c r="AE179" s="6" t="inlineStr">
        <is>
          <t>미확인</t>
        </is>
      </c>
    </row>
    <row r="180">
      <c r="A180" s="4" t="inlineStr">
        <is>
          <t>byredo-velvet-haze</t>
        </is>
      </c>
      <c r="B180" s="4" t="inlineStr">
        <is>
          <t>Byredo</t>
        </is>
      </c>
      <c r="C180" s="5" t="inlineStr">
        <is>
          <t>바이레도</t>
        </is>
      </c>
      <c r="D180" s="4" t="inlineStr">
        <is>
          <t>Velvet Haze</t>
        </is>
      </c>
      <c r="E180" s="5" t="inlineStr">
        <is>
          <t>벨벳 헤이즈</t>
        </is>
      </c>
      <c r="F180" s="5" t="inlineStr">
        <is>
          <t>EDP</t>
        </is>
      </c>
      <c r="G180" s="5" t="inlineStr">
        <is>
          <t>Ambrette, Coconut</t>
        </is>
      </c>
      <c r="H180" s="5" t="inlineStr">
        <is>
          <t>Patchouli</t>
        </is>
      </c>
      <c r="I180" s="5" t="inlineStr">
        <is>
          <t>Cacao, Musk</t>
        </is>
      </c>
      <c r="J180" s="6" t="inlineStr">
        <is>
          <t>https://www.byredo.com/eu_en/p/velvet-haze-eau-de-parfum</t>
        </is>
      </c>
      <c r="K180" s="5" t="inlineStr">
        <is>
          <t>gourmand</t>
        </is>
      </c>
      <c r="L180" s="5" t="inlineStr">
        <is>
          <t>woody, musk</t>
        </is>
      </c>
      <c r="M180" s="5" t="inlineStr">
        <is>
          <t>warm, sensual, deep, cozy, sweet</t>
        </is>
      </c>
      <c r="N180" s="5" t="n"/>
      <c r="O180" s="5" t="inlineStr">
        <is>
          <t>strong</t>
        </is>
      </c>
      <c r="P180" s="5" t="inlineStr">
        <is>
          <t>high</t>
        </is>
      </c>
      <c r="Q180" s="5" t="inlineStr">
        <is>
          <t>가을·겨울 · 저녁</t>
        </is>
      </c>
      <c r="R180" s="5" t="inlineStr">
        <is>
          <t>코코넛과 카카오에 패출리가 깔린 향</t>
        </is>
      </c>
      <c r="S180" s="5" t="inlineStr">
        <is>
          <t>몇 시간 뒤엔 카카오와 머스크가 따뜻하게 남아요</t>
        </is>
      </c>
      <c r="T180" s="5" t="inlineStr">
        <is>
          <t>코코넛의 달콤함과 패출리의 흙내가 맞는지 맡아보세요</t>
        </is>
      </c>
      <c r="U180" s="6" t="n"/>
      <c r="V180" s="6" t="n"/>
      <c r="W180" s="6" t="n"/>
      <c r="X180" s="6" t="n"/>
      <c r="Y180" s="4" t="inlineStr">
        <is>
          <t>바이레도 백화점</t>
        </is>
      </c>
      <c r="Z180" s="6" t="inlineStr">
        <is>
          <t>[확인 필요]</t>
        </is>
      </c>
      <c r="AA180" s="6" t="inlineStr">
        <is>
          <t>byredo-velvet-haze.jpg</t>
        </is>
      </c>
      <c r="AB180" s="6" t="inlineStr">
        <is>
          <t>https://www.byredo.com/eu_en/p/velvet-haze-eau-de-parfum</t>
        </is>
      </c>
      <c r="AC180" s="4" t="inlineStr">
        <is>
          <t>AI 초안 (공식 확인 전)</t>
        </is>
      </c>
      <c r="AD180" s="4" t="inlineStr">
        <is>
          <t>노트·농도 공식 확인 / 국내 정가</t>
        </is>
      </c>
      <c r="AE180" s="6" t="inlineStr">
        <is>
          <t>미확인</t>
        </is>
      </c>
    </row>
    <row r="181">
      <c r="A181" s="4" t="inlineStr">
        <is>
          <t>byredo-sundazed</t>
        </is>
      </c>
      <c r="B181" s="4" t="inlineStr">
        <is>
          <t>Byredo</t>
        </is>
      </c>
      <c r="C181" s="5" t="inlineStr">
        <is>
          <t>바이레도</t>
        </is>
      </c>
      <c r="D181" s="4" t="inlineStr">
        <is>
          <t>Sundazed</t>
        </is>
      </c>
      <c r="E181" s="5" t="inlineStr">
        <is>
          <t>선데이즈드</t>
        </is>
      </c>
      <c r="F181" s="5" t="inlineStr">
        <is>
          <t>EDP</t>
        </is>
      </c>
      <c r="G181" s="5" t="inlineStr">
        <is>
          <t>Mandarin, Lemon</t>
        </is>
      </c>
      <c r="H181" s="5" t="inlineStr">
        <is>
          <t>Neroli, Jasmine</t>
        </is>
      </c>
      <c r="I181" s="5" t="inlineStr">
        <is>
          <t>White Musk</t>
        </is>
      </c>
      <c r="J181" s="6" t="inlineStr">
        <is>
          <t>https://www.byredo.com/eu_en/p/sundazed-eau-de-parfum</t>
        </is>
      </c>
      <c r="K181" s="5" t="inlineStr">
        <is>
          <t>citrus</t>
        </is>
      </c>
      <c r="L181" s="5" t="inlineStr">
        <is>
          <t>floral, musk</t>
        </is>
      </c>
      <c r="M181" s="5" t="inlineStr">
        <is>
          <t>zesty, fresh, clean, sweet, soft</t>
        </is>
      </c>
      <c r="N181" s="5" t="inlineStr">
        <is>
          <t>soapy</t>
        </is>
      </c>
      <c r="O181" s="5" t="inlineStr">
        <is>
          <t>light</t>
        </is>
      </c>
      <c r="P181" s="5" t="inlineStr">
        <is>
          <t>high</t>
        </is>
      </c>
      <c r="Q181" s="5" t="inlineStr">
        <is>
          <t>봄·여름 · 휴가</t>
        </is>
      </c>
      <c r="R181" s="5" t="inlineStr">
        <is>
          <t>귤과 레몬 위에 꽃과 머스크가 번지는 향</t>
        </is>
      </c>
      <c r="S181" s="5" t="inlineStr">
        <is>
          <t>몇 시간 뒤엔 보송한 화이트 머스크가 남아요</t>
        </is>
      </c>
      <c r="T181" s="5" t="inlineStr">
        <is>
          <t>시트러스가 네롤리를 거쳐 머스크로 이어지는지 맡아보세요</t>
        </is>
      </c>
      <c r="U181" s="6" t="n"/>
      <c r="V181" s="6" t="n"/>
      <c r="W181" s="6" t="n"/>
      <c r="X181" s="6" t="n"/>
      <c r="Y181" s="4" t="inlineStr">
        <is>
          <t>바이레도 백화점</t>
        </is>
      </c>
      <c r="Z181" s="6" t="inlineStr">
        <is>
          <t>[확인 필요]</t>
        </is>
      </c>
      <c r="AA181" s="6" t="inlineStr">
        <is>
          <t>byredo-sundazed.jpg</t>
        </is>
      </c>
      <c r="AB181" s="6" t="inlineStr">
        <is>
          <t>https://www.byredo.com/eu_en/p/sundazed-eau-de-parfum</t>
        </is>
      </c>
      <c r="AC181" s="4" t="inlineStr">
        <is>
          <t>AI 초안 (공식 확인 전)</t>
        </is>
      </c>
      <c r="AD181" s="4" t="inlineStr">
        <is>
          <t>노트·농도 공식 확인 / 국내 정가</t>
        </is>
      </c>
      <c r="AE181" s="6" t="inlineStr">
        <is>
          <t>미확인</t>
        </is>
      </c>
    </row>
    <row r="182">
      <c r="A182" s="4" t="inlineStr">
        <is>
          <t>le-labo-the-matcha-26</t>
        </is>
      </c>
      <c r="B182" s="4" t="inlineStr">
        <is>
          <t>Le Labo</t>
        </is>
      </c>
      <c r="C182" s="5" t="inlineStr">
        <is>
          <t>르 라보</t>
        </is>
      </c>
      <c r="D182" s="4" t="inlineStr">
        <is>
          <t>Thé Matcha 26</t>
        </is>
      </c>
      <c r="E182" s="5" t="inlineStr">
        <is>
          <t>떼 마차 26</t>
        </is>
      </c>
      <c r="F182" s="5" t="inlineStr">
        <is>
          <t>EDP</t>
        </is>
      </c>
      <c r="G182" s="5" t="inlineStr">
        <is>
          <t>Bergamot, Green Tea</t>
        </is>
      </c>
      <c r="H182" s="5" t="inlineStr">
        <is>
          <t>Fig, Mint</t>
        </is>
      </c>
      <c r="I182" s="5" t="inlineStr">
        <is>
          <t>Cedar, Musk</t>
        </is>
      </c>
      <c r="J182" s="6" t="n"/>
      <c r="K182" s="5" t="inlineStr">
        <is>
          <t>green</t>
        </is>
      </c>
      <c r="L182" s="5" t="inlineStr">
        <is>
          <t>aromatic</t>
        </is>
      </c>
      <c r="M182" s="5" t="inlineStr">
        <is>
          <t>calm, fresh, soft, cozy</t>
        </is>
      </c>
      <c r="N182" s="5" t="n"/>
      <c r="O182" s="5" t="inlineStr">
        <is>
          <t>light</t>
        </is>
      </c>
      <c r="P182" s="5" t="inlineStr">
        <is>
          <t>low</t>
        </is>
      </c>
      <c r="Q182" s="5" t="inlineStr">
        <is>
          <t>사계절 · 휴식</t>
        </is>
      </c>
      <c r="R182" s="5" t="inlineStr">
        <is>
          <t>말차와 무화과가 어우러진 차분한 초록 향</t>
        </is>
      </c>
      <c r="S182" s="5" t="inlineStr">
        <is>
          <t>몇 시간 뒤엔 부드러운 시더와 머스크가 조용히 남아요</t>
        </is>
      </c>
      <c r="T182" s="5" t="inlineStr">
        <is>
          <t>차 향 사이에서 무화과의 은은한 단맛이 느껴지는지 맡아보세요</t>
        </is>
      </c>
      <c r="U182" s="6" t="n">
        <v>50</v>
      </c>
      <c r="V182" s="6" t="n">
        <v>319000</v>
      </c>
      <c r="W182" s="6" t="inlineStr">
        <is>
          <t>2026-10-08</t>
        </is>
      </c>
      <c r="X182" s="6" t="inlineStr">
        <is>
          <t>https://www.lelabofragrances.co.kr/th-matcha-26.html</t>
        </is>
      </c>
      <c r="Y182" s="4" t="inlineStr">
        <is>
          <t>르 라보 백화점</t>
        </is>
      </c>
      <c r="Z182" s="6" t="inlineStr">
        <is>
          <t>브랜드 매장</t>
        </is>
      </c>
      <c r="AA182" s="6" t="inlineStr">
        <is>
          <t>le-labo-the-matcha-26.jpg</t>
        </is>
      </c>
      <c r="AB182" s="6" t="inlineStr">
        <is>
          <t>https://www.lelabofragrances.co.kr/th-matcha-26.html</t>
        </is>
      </c>
      <c r="AC182" s="4" t="inlineStr">
        <is>
          <t>AI 초안 (공식 확인 전)</t>
        </is>
      </c>
      <c r="AD182" s="4" t="inlineStr">
        <is>
          <t>노트·농도 공식 확인</t>
        </is>
      </c>
      <c r="AE182" s="6" t="inlineStr">
        <is>
          <t>높음 (앱에 표시)</t>
        </is>
      </c>
    </row>
    <row r="183">
      <c r="A183" s="4" t="inlineStr">
        <is>
          <t>le-labo-fleur-d-oranger-27</t>
        </is>
      </c>
      <c r="B183" s="4" t="inlineStr">
        <is>
          <t>Le Labo</t>
        </is>
      </c>
      <c r="C183" s="5" t="inlineStr">
        <is>
          <t>르 라보</t>
        </is>
      </c>
      <c r="D183" s="4" t="inlineStr">
        <is>
          <t>Fleur d'Oranger 27</t>
        </is>
      </c>
      <c r="E183" s="5" t="inlineStr">
        <is>
          <t>플뢰르 도랑제 27</t>
        </is>
      </c>
      <c r="F183" s="5" t="inlineStr">
        <is>
          <t>EDP</t>
        </is>
      </c>
      <c r="G183" s="5" t="inlineStr">
        <is>
          <t>Orange Blossom, Neroli</t>
        </is>
      </c>
      <c r="H183" s="5" t="inlineStr">
        <is>
          <t>Jasmine, Ylang-Ylang</t>
        </is>
      </c>
      <c r="I183" s="5" t="inlineStr">
        <is>
          <t>Musk, Amber</t>
        </is>
      </c>
      <c r="J183" s="6" t="n"/>
      <c r="K183" s="5" t="inlineStr">
        <is>
          <t>whiteFloral</t>
        </is>
      </c>
      <c r="L183" s="5" t="inlineStr">
        <is>
          <t>musk</t>
        </is>
      </c>
      <c r="M183" s="5" t="inlineStr">
        <is>
          <t>soft, elegant, clean, lovely</t>
        </is>
      </c>
      <c r="N183" s="5" t="n"/>
      <c r="O183" s="5" t="inlineStr">
        <is>
          <t>medium</t>
        </is>
      </c>
      <c r="P183" s="5" t="inlineStr">
        <is>
          <t>mid</t>
        </is>
      </c>
      <c r="Q183" s="5" t="inlineStr">
        <is>
          <t>봄·가을 · 데이트</t>
        </is>
      </c>
      <c r="R183" s="5" t="inlineStr">
        <is>
          <t>오렌지 꽃과 머스크가 포근한 흰 꽃 향</t>
        </is>
      </c>
      <c r="S183" s="5" t="inlineStr">
        <is>
          <t>몇 시간 뒤엔 살냄새 같은 부드러운 머스크가 남아요</t>
        </is>
      </c>
      <c r="T183" s="5" t="inlineStr">
        <is>
          <t>오렌지 꽃의 달콤함이 머스크로 이어지는 흐름을 맡아보세요</t>
        </is>
      </c>
      <c r="U183" s="6" t="n">
        <v>50</v>
      </c>
      <c r="V183" s="6" t="n">
        <v>319000</v>
      </c>
      <c r="W183" s="6" t="inlineStr">
        <is>
          <t>2026-10-08</t>
        </is>
      </c>
      <c r="X183" s="6" t="inlineStr">
        <is>
          <t>https://www.lelabofragrances.co.kr/fleur-doranger-27.html</t>
        </is>
      </c>
      <c r="Y183" s="4" t="inlineStr">
        <is>
          <t>르 라보 백화점</t>
        </is>
      </c>
      <c r="Z183" s="6" t="inlineStr">
        <is>
          <t>브랜드 매장</t>
        </is>
      </c>
      <c r="AA183" s="6" t="inlineStr">
        <is>
          <t>le-labo-fleur-d-oranger-27.jpg</t>
        </is>
      </c>
      <c r="AB183" s="6" t="inlineStr">
        <is>
          <t>https://www.lelabofragrances.co.kr/fleur-doranger-27.html</t>
        </is>
      </c>
      <c r="AC183" s="4" t="inlineStr">
        <is>
          <t>AI 초안 (공식 확인 전)</t>
        </is>
      </c>
      <c r="AD183" s="4" t="inlineStr">
        <is>
          <t>노트·농도 공식 확인</t>
        </is>
      </c>
      <c r="AE183" s="6" t="inlineStr">
        <is>
          <t>높음 (앱에 표시)</t>
        </is>
      </c>
    </row>
    <row r="184">
      <c r="A184" s="4" t="inlineStr">
        <is>
          <t>le-labo-lys-41</t>
        </is>
      </c>
      <c r="B184" s="4" t="inlineStr">
        <is>
          <t>Le Labo</t>
        </is>
      </c>
      <c r="C184" s="5" t="inlineStr">
        <is>
          <t>르 라보</t>
        </is>
      </c>
      <c r="D184" s="4" t="inlineStr">
        <is>
          <t>Lys 41</t>
        </is>
      </c>
      <c r="E184" s="5" t="inlineStr">
        <is>
          <t>리스 41</t>
        </is>
      </c>
      <c r="F184" s="5" t="inlineStr">
        <is>
          <t>EDP</t>
        </is>
      </c>
      <c r="G184" s="5" t="inlineStr">
        <is>
          <t>Lily of the Valley, Bergamot</t>
        </is>
      </c>
      <c r="H184" s="5" t="inlineStr">
        <is>
          <t>Jasmine, Ylang-Ylang</t>
        </is>
      </c>
      <c r="I184" s="5" t="inlineStr">
        <is>
          <t>Vanilla, Musk</t>
        </is>
      </c>
      <c r="J184" s="6" t="n"/>
      <c r="K184" s="5" t="inlineStr">
        <is>
          <t>whiteFloral</t>
        </is>
      </c>
      <c r="L184" s="5" t="inlineStr">
        <is>
          <t>musk</t>
        </is>
      </c>
      <c r="M184" s="5" t="inlineStr">
        <is>
          <t>elegant, soft, lovely, sweet</t>
        </is>
      </c>
      <c r="N184" s="5" t="inlineStr">
        <is>
          <t>heavyFloral</t>
        </is>
      </c>
      <c r="O184" s="5" t="inlineStr">
        <is>
          <t>medium</t>
        </is>
      </c>
      <c r="P184" s="5" t="inlineStr">
        <is>
          <t>mid</t>
        </is>
      </c>
      <c r="Q184" s="5" t="inlineStr">
        <is>
          <t>봄 · 데이트</t>
        </is>
      </c>
      <c r="R184" s="5" t="inlineStr">
        <is>
          <t>백합의 서늘함에 바닐라가 번지는 흰 꽃 향</t>
        </is>
      </c>
      <c r="S184" s="5" t="inlineStr">
        <is>
          <t>몇 시간 뒤엔 바닐라 머스크가 포근하게 남아요</t>
        </is>
      </c>
      <c r="T184" s="5" t="inlineStr">
        <is>
          <t>백합 향이 너무 진하지 않고 바닐라와 어울리는지 맡아보세요</t>
        </is>
      </c>
      <c r="U184" s="6" t="n">
        <v>50</v>
      </c>
      <c r="V184" s="6" t="n">
        <v>319000</v>
      </c>
      <c r="W184" s="6" t="inlineStr">
        <is>
          <t>2026-10-08</t>
        </is>
      </c>
      <c r="X184" s="6" t="inlineStr">
        <is>
          <t>https://www.lelabofragrances.co.kr/lys-41.html</t>
        </is>
      </c>
      <c r="Y184" s="4" t="inlineStr">
        <is>
          <t>르 라보 백화점</t>
        </is>
      </c>
      <c r="Z184" s="6" t="inlineStr">
        <is>
          <t>브랜드 매장</t>
        </is>
      </c>
      <c r="AA184" s="6" t="inlineStr">
        <is>
          <t>le-labo-lys-41.jpg</t>
        </is>
      </c>
      <c r="AB184" s="6" t="inlineStr">
        <is>
          <t>https://www.lelabofragrances.co.kr/lys-41.html</t>
        </is>
      </c>
      <c r="AC184" s="4" t="inlineStr">
        <is>
          <t>AI 초안 (공식 확인 전)</t>
        </is>
      </c>
      <c r="AD184" s="4" t="inlineStr">
        <is>
          <t>노트·농도 공식 확인</t>
        </is>
      </c>
      <c r="AE184" s="6" t="inlineStr">
        <is>
          <t>높음 (앱에 표시)</t>
        </is>
      </c>
    </row>
    <row r="185">
      <c r="A185" s="4" t="inlineStr">
        <is>
          <t>le-labo-neroli-36</t>
        </is>
      </c>
      <c r="B185" s="4" t="inlineStr">
        <is>
          <t>Le Labo</t>
        </is>
      </c>
      <c r="C185" s="5" t="inlineStr">
        <is>
          <t>르 라보</t>
        </is>
      </c>
      <c r="D185" s="4" t="inlineStr">
        <is>
          <t>Neroli 36</t>
        </is>
      </c>
      <c r="E185" s="5" t="inlineStr">
        <is>
          <t>네롤리 36</t>
        </is>
      </c>
      <c r="F185" s="5" t="inlineStr">
        <is>
          <t>EDP</t>
        </is>
      </c>
      <c r="G185" s="5" t="inlineStr">
        <is>
          <t>Neroli, Bergamot</t>
        </is>
      </c>
      <c r="H185" s="5" t="inlineStr">
        <is>
          <t>Orange Blossom, Jasmine</t>
        </is>
      </c>
      <c r="I185" s="5" t="inlineStr">
        <is>
          <t>Musk, Ambroxan</t>
        </is>
      </c>
      <c r="J185" s="6" t="n"/>
      <c r="K185" s="5" t="inlineStr">
        <is>
          <t>citrus</t>
        </is>
      </c>
      <c r="L185" s="5" t="inlineStr">
        <is>
          <t>whiteFloral</t>
        </is>
      </c>
      <c r="M185" s="5" t="inlineStr">
        <is>
          <t>clean, fresh, soft, zesty</t>
        </is>
      </c>
      <c r="N185" s="5" t="n"/>
      <c r="O185" s="5" t="inlineStr">
        <is>
          <t>medium</t>
        </is>
      </c>
      <c r="P185" s="5" t="inlineStr">
        <is>
          <t>low</t>
        </is>
      </c>
      <c r="Q185" s="5" t="inlineStr">
        <is>
          <t>봄·여름 · 출근</t>
        </is>
      </c>
      <c r="R185" s="5" t="inlineStr">
        <is>
          <t>네롤리와 흰 꽃이 어우러진 맑은 시트러스</t>
        </is>
      </c>
      <c r="S185" s="5" t="inlineStr">
        <is>
          <t>몇 시간 뒤엔 깨끗한 머스크가 피부에 가볍게 남아요</t>
        </is>
      </c>
      <c r="T185" s="5" t="inlineStr">
        <is>
          <t>시트러스 첫 향이 꽃과 머스크로 부드럽게 이어지는지 맡아보세요</t>
        </is>
      </c>
      <c r="U185" s="6" t="n">
        <v>50</v>
      </c>
      <c r="V185" s="6" t="n">
        <v>319000</v>
      </c>
      <c r="W185" s="6" t="inlineStr">
        <is>
          <t>2026-10-08</t>
        </is>
      </c>
      <c r="X185" s="6" t="inlineStr">
        <is>
          <t>https://www.lelabofragrances.co.kr/neroli-36.html</t>
        </is>
      </c>
      <c r="Y185" s="4" t="inlineStr">
        <is>
          <t>르 라보 백화점</t>
        </is>
      </c>
      <c r="Z185" s="6" t="inlineStr">
        <is>
          <t>브랜드 매장</t>
        </is>
      </c>
      <c r="AA185" s="6" t="inlineStr">
        <is>
          <t>le-labo-neroli-36.jpg</t>
        </is>
      </c>
      <c r="AB185" s="6" t="inlineStr">
        <is>
          <t>https://www.lelabofragrances.co.kr/neroli-36.html</t>
        </is>
      </c>
      <c r="AC185" s="4" t="inlineStr">
        <is>
          <t>AI 초안 (공식 확인 전)</t>
        </is>
      </c>
      <c r="AD185" s="4" t="inlineStr">
        <is>
          <t>노트·농도 공식 확인</t>
        </is>
      </c>
      <c r="AE185" s="6" t="inlineStr">
        <is>
          <t>높음 (앱에 표시)</t>
        </is>
      </c>
    </row>
    <row r="186">
      <c r="A186" s="4" t="inlineStr">
        <is>
          <t>le-labo-labdanum-18</t>
        </is>
      </c>
      <c r="B186" s="4" t="inlineStr">
        <is>
          <t>Le Labo</t>
        </is>
      </c>
      <c r="C186" s="5" t="inlineStr">
        <is>
          <t>르 라보</t>
        </is>
      </c>
      <c r="D186" s="4" t="inlineStr">
        <is>
          <t>Labdanum 18</t>
        </is>
      </c>
      <c r="E186" s="5" t="inlineStr">
        <is>
          <t>라다넘 18</t>
        </is>
      </c>
      <c r="F186" s="5" t="inlineStr">
        <is>
          <t>EDP</t>
        </is>
      </c>
      <c r="G186" s="5" t="inlineStr">
        <is>
          <t>Bergamot, Cardamom</t>
        </is>
      </c>
      <c r="H186" s="5" t="inlineStr">
        <is>
          <t>Labdanum, Rose</t>
        </is>
      </c>
      <c r="I186" s="5" t="inlineStr">
        <is>
          <t>Amber, Patchouli, Vanilla</t>
        </is>
      </c>
      <c r="J186" s="6" t="n"/>
      <c r="K186" s="5" t="inlineStr">
        <is>
          <t>amber</t>
        </is>
      </c>
      <c r="L186" s="5" t="inlineStr">
        <is>
          <t>woody</t>
        </is>
      </c>
      <c r="M186" s="5" t="inlineStr">
        <is>
          <t>warm, deep, sweet, sensual</t>
        </is>
      </c>
      <c r="N186" s="5" t="n"/>
      <c r="O186" s="5" t="inlineStr">
        <is>
          <t>strong</t>
        </is>
      </c>
      <c r="P186" s="5" t="inlineStr">
        <is>
          <t>high</t>
        </is>
      </c>
      <c r="Q186" s="5" t="inlineStr">
        <is>
          <t>가을·겨울 · 저녁</t>
        </is>
      </c>
      <c r="R186" s="5" t="inlineStr">
        <is>
          <t>달콤하고 수지 같은 앰버가 깊은 향</t>
        </is>
      </c>
      <c r="S186" s="5" t="inlineStr">
        <is>
          <t>몇 시간 뒤엔 앰버와 패출리가 따뜻하게 남아요</t>
        </is>
      </c>
      <c r="T186" s="5" t="inlineStr">
        <is>
          <t>라다넘의 진득한 느낌이 부담스럽지 않은지 맡아보세요</t>
        </is>
      </c>
      <c r="U186" s="6" t="n">
        <v>50</v>
      </c>
      <c r="V186" s="6" t="n">
        <v>319000</v>
      </c>
      <c r="W186" s="6" t="inlineStr">
        <is>
          <t>2026-10-08</t>
        </is>
      </c>
      <c r="X186" s="6" t="inlineStr">
        <is>
          <t>https://www.lelabofragrances.co.kr/labdanum-18.html</t>
        </is>
      </c>
      <c r="Y186" s="4" t="inlineStr">
        <is>
          <t>르 라보 백화점</t>
        </is>
      </c>
      <c r="Z186" s="6" t="inlineStr">
        <is>
          <t>브랜드 매장</t>
        </is>
      </c>
      <c r="AA186" s="6" t="inlineStr">
        <is>
          <t>le-labo-labdanum-18.jpg</t>
        </is>
      </c>
      <c r="AB186" s="6" t="inlineStr">
        <is>
          <t>https://www.lelabofragrances.co.kr/labdanum-18.html</t>
        </is>
      </c>
      <c r="AC186" s="4" t="inlineStr">
        <is>
          <t>AI 초안 (공식 확인 전)</t>
        </is>
      </c>
      <c r="AD186" s="4" t="inlineStr">
        <is>
          <t>노트·농도 공식 확인</t>
        </is>
      </c>
      <c r="AE186" s="6" t="inlineStr">
        <is>
          <t>높음 (앱에 표시)</t>
        </is>
      </c>
    </row>
    <row r="187">
      <c r="A187" s="4" t="inlineStr">
        <is>
          <t>mfk-amyris-femme</t>
        </is>
      </c>
      <c r="B187" s="4" t="inlineStr">
        <is>
          <t>Maison Francis Kurkdjian</t>
        </is>
      </c>
      <c r="C187" s="5" t="inlineStr">
        <is>
          <t>메종 프란시스 커정</t>
        </is>
      </c>
      <c r="D187" s="4" t="inlineStr">
        <is>
          <t>Amyris Femme</t>
        </is>
      </c>
      <c r="E187" s="5" t="inlineStr">
        <is>
          <t>아미리스 팜므</t>
        </is>
      </c>
      <c r="F187" s="5" t="inlineStr">
        <is>
          <t>EDP</t>
        </is>
      </c>
      <c r="G187" s="5" t="inlineStr">
        <is>
          <t>Orange, Lemon</t>
        </is>
      </c>
      <c r="H187" s="5" t="inlineStr">
        <is>
          <t>Iris, Freesia</t>
        </is>
      </c>
      <c r="I187" s="5" t="inlineStr">
        <is>
          <t>Vetiver, Amber, Musk</t>
        </is>
      </c>
      <c r="J187" s="6" t="n"/>
      <c r="K187" s="5" t="inlineStr">
        <is>
          <t>floral</t>
        </is>
      </c>
      <c r="L187" s="5" t="inlineStr">
        <is>
          <t>citrus</t>
        </is>
      </c>
      <c r="M187" s="5" t="inlineStr">
        <is>
          <t>fresh, soft, lovely, elegant</t>
        </is>
      </c>
      <c r="N187" s="5" t="n"/>
      <c r="O187" s="5" t="inlineStr">
        <is>
          <t>medium</t>
        </is>
      </c>
      <c r="P187" s="5" t="inlineStr">
        <is>
          <t>low</t>
        </is>
      </c>
      <c r="Q187" s="5" t="inlineStr">
        <is>
          <t>봄·여름 · 데이트</t>
        </is>
      </c>
      <c r="R187" s="5" t="inlineStr">
        <is>
          <t>상큼한 과일과 붓꽃이 경쾌하게 섞인 꽃 향</t>
        </is>
      </c>
      <c r="S187" s="5" t="inlineStr">
        <is>
          <t>몇 시간 뒤엔 베티버와 따뜻한 머스크가 남아요</t>
        </is>
      </c>
      <c r="T187" s="5" t="inlineStr">
        <is>
          <t>상큼한 첫 향이 붓꽃의 부드러움으로 바뀌는지 맡아보세요</t>
        </is>
      </c>
      <c r="U187" s="6" t="n"/>
      <c r="V187" s="6" t="n"/>
      <c r="W187" s="6" t="n"/>
      <c r="X187" s="6" t="n"/>
      <c r="Y187" s="4" t="inlineStr">
        <is>
          <t>메종 프란시스 커정 백화점</t>
        </is>
      </c>
      <c r="Z187" s="6" t="inlineStr">
        <is>
          <t>백화점</t>
        </is>
      </c>
      <c r="AA187" s="6" t="n"/>
      <c r="AB187" s="6" t="n"/>
      <c r="AC187" s="4" t="inlineStr">
        <is>
          <t>AI 초안 (공식 확인 전)</t>
        </is>
      </c>
      <c r="AD187" s="4" t="inlineStr">
        <is>
          <t>노트·농도 공식 확인 / 국내 정가 / 이미지</t>
        </is>
      </c>
      <c r="AE187" s="6" t="inlineStr">
        <is>
          <t>보통 (앱에 표시)</t>
        </is>
      </c>
    </row>
    <row r="188">
      <c r="A188" s="4" t="inlineStr">
        <is>
          <t>mfk-a-la-rose</t>
        </is>
      </c>
      <c r="B188" s="4" t="inlineStr">
        <is>
          <t>Maison Francis Kurkdjian</t>
        </is>
      </c>
      <c r="C188" s="5" t="inlineStr">
        <is>
          <t>메종 프란시스 커정</t>
        </is>
      </c>
      <c r="D188" s="4" t="inlineStr">
        <is>
          <t>À la rose</t>
        </is>
      </c>
      <c r="E188" s="5" t="inlineStr">
        <is>
          <t>아 라 로즈</t>
        </is>
      </c>
      <c r="F188" s="5" t="inlineStr">
        <is>
          <t>EDP</t>
        </is>
      </c>
      <c r="G188" s="5" t="inlineStr">
        <is>
          <t>Pear, Lychee</t>
        </is>
      </c>
      <c r="H188" s="5" t="inlineStr">
        <is>
          <t>Damask Rose, Rose</t>
        </is>
      </c>
      <c r="I188" s="5" t="inlineStr">
        <is>
          <t>Honey, Musk</t>
        </is>
      </c>
      <c r="J188" s="6" t="n"/>
      <c r="K188" s="5" t="inlineStr">
        <is>
          <t>floral</t>
        </is>
      </c>
      <c r="L188" s="5" t="inlineStr">
        <is>
          <t>musk</t>
        </is>
      </c>
      <c r="M188" s="5" t="inlineStr">
        <is>
          <t>lovely, elegant, soft</t>
        </is>
      </c>
      <c r="N188" s="5" t="n"/>
      <c r="O188" s="5" t="inlineStr">
        <is>
          <t>medium</t>
        </is>
      </c>
      <c r="P188" s="5" t="inlineStr">
        <is>
          <t>low</t>
        </is>
      </c>
      <c r="Q188" s="5" t="inlineStr">
        <is>
          <t>봄 · 데이트</t>
        </is>
      </c>
      <c r="R188" s="5" t="inlineStr">
        <is>
          <t>가볍고 부드러운 장미에 머스크가 감도는 향</t>
        </is>
      </c>
      <c r="S188" s="5" t="inlineStr">
        <is>
          <t>몇 시간 뒤엔 은은한 꿀과 머스크가 남아요</t>
        </is>
      </c>
      <c r="T188" s="5" t="inlineStr">
        <is>
          <t>장미 향이 무겁지 않고 투명하게 느껴지는지 맡아보세요</t>
        </is>
      </c>
      <c r="U188" s="6" t="n"/>
      <c r="V188" s="6" t="n"/>
      <c r="W188" s="6" t="n"/>
      <c r="X188" s="6" t="n"/>
      <c r="Y188" s="4" t="inlineStr">
        <is>
          <t>메종 프란시스 커정 백화점</t>
        </is>
      </c>
      <c r="Z188" s="6" t="inlineStr">
        <is>
          <t>백화점</t>
        </is>
      </c>
      <c r="AA188" s="6" t="n"/>
      <c r="AB188" s="6" t="n"/>
      <c r="AC188" s="4" t="inlineStr">
        <is>
          <t>AI 초안 (공식 확인 전)</t>
        </is>
      </c>
      <c r="AD188" s="4" t="inlineStr">
        <is>
          <t>노트·농도 공식 확인 / 이미지 / 국내 정가</t>
        </is>
      </c>
      <c r="AE188" s="6" t="inlineStr">
        <is>
          <t>보통 (앱에 표시)</t>
        </is>
      </c>
    </row>
    <row r="189">
      <c r="A189" s="4" t="inlineStr">
        <is>
          <t>mfk-aqua-celestia</t>
        </is>
      </c>
      <c r="B189" s="4" t="inlineStr">
        <is>
          <t>Maison Francis Kurkdjian</t>
        </is>
      </c>
      <c r="C189" s="5" t="inlineStr">
        <is>
          <t>메종 프란시스 커정</t>
        </is>
      </c>
      <c r="D189" s="4" t="inlineStr">
        <is>
          <t>Aqua Celestia</t>
        </is>
      </c>
      <c r="E189" s="5" t="inlineStr">
        <is>
          <t>아쿠아 셀레스티아</t>
        </is>
      </c>
      <c r="F189" s="5" t="inlineStr">
        <is>
          <t>EDT</t>
        </is>
      </c>
      <c r="G189" s="5" t="inlineStr">
        <is>
          <t>Lime, Mint, Blackcurrant</t>
        </is>
      </c>
      <c r="H189" s="5" t="inlineStr">
        <is>
          <t>Mimosa</t>
        </is>
      </c>
      <c r="I189" s="5" t="inlineStr">
        <is>
          <t>Musk, Woody Notes</t>
        </is>
      </c>
      <c r="J189" s="6" t="n"/>
      <c r="K189" s="5" t="inlineStr">
        <is>
          <t>citrus</t>
        </is>
      </c>
      <c r="L189" s="5" t="inlineStr">
        <is>
          <t>aqua</t>
        </is>
      </c>
      <c r="M189" s="5" t="inlineStr">
        <is>
          <t>cool, fresh, zesty, clean</t>
        </is>
      </c>
      <c r="N189" s="5" t="n"/>
      <c r="O189" s="5" t="inlineStr">
        <is>
          <t>light</t>
        </is>
      </c>
      <c r="P189" s="5" t="inlineStr">
        <is>
          <t>low</t>
        </is>
      </c>
      <c r="Q189" s="5" t="inlineStr">
        <is>
          <t>봄·여름 · 휴가</t>
        </is>
      </c>
      <c r="R189" s="5" t="inlineStr">
        <is>
          <t>라임과 민트가 시원한 맑은 하늘 같은 향</t>
        </is>
      </c>
      <c r="S189" s="5" t="inlineStr">
        <is>
          <t>몇 시간 뒤엔 가벼운 머스크가 깔끔하게 남아요</t>
        </is>
      </c>
      <c r="T189" s="5" t="inlineStr">
        <is>
          <t>라임의 상큼함 뒤에 미모사의 보송함이 느껴지는지 맡아보세요</t>
        </is>
      </c>
      <c r="U189" s="6" t="n"/>
      <c r="V189" s="6" t="n"/>
      <c r="W189" s="6" t="n"/>
      <c r="X189" s="6" t="n"/>
      <c r="Y189" s="4" t="inlineStr">
        <is>
          <t>메종 프란시스 커정 백화점</t>
        </is>
      </c>
      <c r="Z189" s="6" t="inlineStr">
        <is>
          <t>백화점</t>
        </is>
      </c>
      <c r="AA189" s="6" t="n"/>
      <c r="AB189" s="6" t="n"/>
      <c r="AC189" s="4" t="inlineStr">
        <is>
          <t>AI 초안 (공식 확인 전)</t>
        </is>
      </c>
      <c r="AD189" s="4" t="inlineStr">
        <is>
          <t>노트·농도 공식 확인 / 국내 정가 / 이미지</t>
        </is>
      </c>
      <c r="AE189" s="6" t="inlineStr">
        <is>
          <t>보통 (앱에 표시)</t>
        </is>
      </c>
    </row>
    <row r="190">
      <c r="A190" s="4" t="inlineStr">
        <is>
          <t>mfk-724</t>
        </is>
      </c>
      <c r="B190" s="4" t="inlineStr">
        <is>
          <t>Maison Francis Kurkdjian</t>
        </is>
      </c>
      <c r="C190" s="5" t="inlineStr">
        <is>
          <t>메종 프란시스 커정</t>
        </is>
      </c>
      <c r="D190" s="4" t="inlineStr">
        <is>
          <t>724</t>
        </is>
      </c>
      <c r="E190" s="5" t="inlineStr">
        <is>
          <t>724</t>
        </is>
      </c>
      <c r="F190" s="5" t="inlineStr">
        <is>
          <t>EDP</t>
        </is>
      </c>
      <c r="G190" s="5" t="inlineStr">
        <is>
          <t>Aldehydes, Bergamot</t>
        </is>
      </c>
      <c r="H190" s="5" t="inlineStr">
        <is>
          <t>Jasmine, White Rose</t>
        </is>
      </c>
      <c r="I190" s="5" t="inlineStr">
        <is>
          <t>White Musk, Musk</t>
        </is>
      </c>
      <c r="J190" s="6" t="n"/>
      <c r="K190" s="5" t="inlineStr">
        <is>
          <t>whiteFloral</t>
        </is>
      </c>
      <c r="L190" s="5" t="inlineStr">
        <is>
          <t>musk</t>
        </is>
      </c>
      <c r="M190" s="5" t="inlineStr">
        <is>
          <t>clean, soft, elegant, lovely</t>
        </is>
      </c>
      <c r="N190" s="5" t="inlineStr">
        <is>
          <t>soapy</t>
        </is>
      </c>
      <c r="O190" s="5" t="inlineStr">
        <is>
          <t>medium</t>
        </is>
      </c>
      <c r="P190" s="5" t="inlineStr">
        <is>
          <t>low</t>
        </is>
      </c>
      <c r="Q190" s="5" t="inlineStr">
        <is>
          <t>사계절 · 출근</t>
        </is>
      </c>
      <c r="R190" s="5" t="inlineStr">
        <is>
          <t>깨끗한 흰 꽃과 머스크가 매끈한 도시 향</t>
        </is>
      </c>
      <c r="S190" s="5" t="inlineStr">
        <is>
          <t>몇 시간 뒤엔 보송한 흰 머스크가 가볍게 남아요</t>
        </is>
      </c>
      <c r="T190" s="5" t="inlineStr">
        <is>
          <t>첫 향의 비누 같은 느낌이 부담스럽지 않은지 맡아보세요</t>
        </is>
      </c>
      <c r="U190" s="6" t="n"/>
      <c r="V190" s="6" t="n"/>
      <c r="W190" s="6" t="n"/>
      <c r="X190" s="6" t="n"/>
      <c r="Y190" s="4" t="inlineStr">
        <is>
          <t>메종 프란시스 커정 백화점</t>
        </is>
      </c>
      <c r="Z190" s="6" t="inlineStr">
        <is>
          <t>백화점</t>
        </is>
      </c>
      <c r="AA190" s="6" t="n"/>
      <c r="AB190" s="6" t="n"/>
      <c r="AC190" s="4" t="inlineStr">
        <is>
          <t>AI 초안 (공식 확인 전)</t>
        </is>
      </c>
      <c r="AD190" s="4" t="inlineStr">
        <is>
          <t>노트·농도 공식 확인 / 국내 정가 / 이미지</t>
        </is>
      </c>
      <c r="AE190" s="6" t="inlineStr">
        <is>
          <t>보통 (앱에 표시)</t>
        </is>
      </c>
    </row>
    <row r="191">
      <c r="A191" s="4" t="inlineStr">
        <is>
          <t>tom-ford-rose-prick</t>
        </is>
      </c>
      <c r="B191" s="4" t="inlineStr">
        <is>
          <t>Tom Ford</t>
        </is>
      </c>
      <c r="C191" s="5" t="inlineStr">
        <is>
          <t>톰 포드</t>
        </is>
      </c>
      <c r="D191" s="4" t="inlineStr">
        <is>
          <t>Rose Prick</t>
        </is>
      </c>
      <c r="E191" s="5" t="inlineStr">
        <is>
          <t>로즈 프릭</t>
        </is>
      </c>
      <c r="F191" s="5" t="inlineStr">
        <is>
          <t>EDP</t>
        </is>
      </c>
      <c r="G191" s="5" t="inlineStr">
        <is>
          <t>Pink Pepper, Cardamom</t>
        </is>
      </c>
      <c r="H191" s="5" t="inlineStr">
        <is>
          <t>Damask Rose, Rose</t>
        </is>
      </c>
      <c r="I191" s="5" t="inlineStr">
        <is>
          <t>Patchouli, Musk</t>
        </is>
      </c>
      <c r="J191" s="6" t="n"/>
      <c r="K191" s="5" t="inlineStr">
        <is>
          <t>floral</t>
        </is>
      </c>
      <c r="L191" s="5" t="inlineStr">
        <is>
          <t>spicy</t>
        </is>
      </c>
      <c r="M191" s="5" t="inlineStr">
        <is>
          <t>elegant, sensual, deep</t>
        </is>
      </c>
      <c r="N191" s="5" t="inlineStr">
        <is>
          <t>heavyFloral, spicy</t>
        </is>
      </c>
      <c r="O191" s="5" t="inlineStr">
        <is>
          <t>strong</t>
        </is>
      </c>
      <c r="P191" s="5" t="inlineStr">
        <is>
          <t>high</t>
        </is>
      </c>
      <c r="Q191" s="5" t="inlineStr">
        <is>
          <t>가을·겨울 · 저녁</t>
        </is>
      </c>
      <c r="R191" s="5" t="inlineStr">
        <is>
          <t>향신료가 살짝 찌르는 짙고 선명한 장미 향</t>
        </is>
      </c>
      <c r="S191" s="5" t="inlineStr">
        <is>
          <t>몇 시간 뒤엔 패출리와 머스크 위에 장미가 남아요</t>
        </is>
      </c>
      <c r="T191" s="5" t="inlineStr">
        <is>
          <t>장미의 달콤함과 향신료의 날카로움 균형을 맡아보세요</t>
        </is>
      </c>
      <c r="U191" s="6" t="n"/>
      <c r="V191" s="6" t="n"/>
      <c r="W191" s="6" t="n"/>
      <c r="X191" s="6" t="n"/>
      <c r="Y191" s="4" t="inlineStr">
        <is>
          <t>톰 포드 백화점</t>
        </is>
      </c>
      <c r="Z191" s="6" t="inlineStr">
        <is>
          <t>백화점</t>
        </is>
      </c>
      <c r="AA191" s="6" t="inlineStr">
        <is>
          <t>tom-ford-rose-prick.png</t>
        </is>
      </c>
      <c r="AB191" s="6" t="inlineStr">
        <is>
          <t>https://www.tomfordbeauty.com/products/rose-prick-eau-de-parfum</t>
        </is>
      </c>
      <c r="AC191" s="4" t="inlineStr">
        <is>
          <t>AI 초안 (공식 확인 전)</t>
        </is>
      </c>
      <c r="AD191" s="4" t="inlineStr">
        <is>
          <t>노트·농도 공식 확인 / 국내 정가</t>
        </is>
      </c>
      <c r="AE191" s="6" t="inlineStr">
        <is>
          <t>보통 (앱에 표시)</t>
        </is>
      </c>
    </row>
    <row r="192">
      <c r="A192" s="4" t="inlineStr">
        <is>
          <t>tom-ford-bitter-peach</t>
        </is>
      </c>
      <c r="B192" s="4" t="inlineStr">
        <is>
          <t>Tom Ford</t>
        </is>
      </c>
      <c r="C192" s="5" t="inlineStr">
        <is>
          <t>톰 포드</t>
        </is>
      </c>
      <c r="D192" s="4" t="inlineStr">
        <is>
          <t>Bitter Peach</t>
        </is>
      </c>
      <c r="E192" s="5" t="inlineStr">
        <is>
          <t>비터 피치</t>
        </is>
      </c>
      <c r="F192" s="5" t="inlineStr">
        <is>
          <t>EDP</t>
        </is>
      </c>
      <c r="G192" s="5" t="inlineStr">
        <is>
          <t>Peach, Orange</t>
        </is>
      </c>
      <c r="H192" s="5" t="inlineStr">
        <is>
          <t>Davana, Rum</t>
        </is>
      </c>
      <c r="I192" s="5" t="inlineStr">
        <is>
          <t>Patchouli, Vanilla, Amber</t>
        </is>
      </c>
      <c r="J192" s="6" t="n"/>
      <c r="K192" s="5" t="inlineStr">
        <is>
          <t>fruity</t>
        </is>
      </c>
      <c r="L192" s="5" t="inlineStr">
        <is>
          <t>gourmand</t>
        </is>
      </c>
      <c r="M192" s="5" t="inlineStr">
        <is>
          <t>sweet, warm, sensual</t>
        </is>
      </c>
      <c r="N192" s="5" t="inlineStr">
        <is>
          <t>tooSweet</t>
        </is>
      </c>
      <c r="O192" s="5" t="inlineStr">
        <is>
          <t>strong</t>
        </is>
      </c>
      <c r="P192" s="5" t="inlineStr">
        <is>
          <t>high</t>
        </is>
      </c>
      <c r="Q192" s="5" t="inlineStr">
        <is>
          <t>가을·겨울 · 데이트</t>
        </is>
      </c>
      <c r="R192" s="5" t="inlineStr">
        <is>
          <t>잘 익은 복숭아에 럼과 바닐라가 번지는 향</t>
        </is>
      </c>
      <c r="S192" s="5" t="inlineStr">
        <is>
          <t>몇 시간 뒤엔 바닐라와 패출리가 따뜻하게 남아요</t>
        </is>
      </c>
      <c r="T192" s="5" t="inlineStr">
        <is>
          <t>복숭아의 달콤함이 럼과 앰버로 깊어지는 흐름을 맡아보세요</t>
        </is>
      </c>
      <c r="U192" s="6" t="n"/>
      <c r="V192" s="6" t="n"/>
      <c r="W192" s="6" t="n"/>
      <c r="X192" s="6" t="n"/>
      <c r="Y192" s="4" t="inlineStr">
        <is>
          <t>톰 포드 백화점</t>
        </is>
      </c>
      <c r="Z192" s="6" t="inlineStr">
        <is>
          <t>백화점</t>
        </is>
      </c>
      <c r="AA192" s="6" t="inlineStr">
        <is>
          <t>tom-ford-bitter-peach.png</t>
        </is>
      </c>
      <c r="AB192" s="6" t="inlineStr">
        <is>
          <t>https://www.tomfordbeauty.com/products/bitter-peach-eau-de-parfum</t>
        </is>
      </c>
      <c r="AC192" s="4" t="inlineStr">
        <is>
          <t>AI 초안 (공식 확인 전)</t>
        </is>
      </c>
      <c r="AD192" s="4" t="inlineStr">
        <is>
          <t>노트·농도 공식 확인 / 국내 정가</t>
        </is>
      </c>
      <c r="AE192" s="6" t="inlineStr">
        <is>
          <t>보통 (앱에 표시)</t>
        </is>
      </c>
    </row>
    <row r="193">
      <c r="A193" s="4" t="inlineStr">
        <is>
          <t>tom-ford-fucking-fabulous</t>
        </is>
      </c>
      <c r="B193" s="4" t="inlineStr">
        <is>
          <t>Tom Ford</t>
        </is>
      </c>
      <c r="C193" s="5" t="inlineStr">
        <is>
          <t>톰 포드</t>
        </is>
      </c>
      <c r="D193" s="4" t="inlineStr">
        <is>
          <t>Fucking Fabulous</t>
        </is>
      </c>
      <c r="E193" s="5" t="inlineStr">
        <is>
          <t>퍼킹 패뷸러스</t>
        </is>
      </c>
      <c r="F193" s="5" t="inlineStr">
        <is>
          <t>EDP</t>
        </is>
      </c>
      <c r="G193" s="5" t="inlineStr">
        <is>
          <t>Clary Sage, Lavender</t>
        </is>
      </c>
      <c r="H193" s="5" t="inlineStr">
        <is>
          <t>Almond, Leather, Iris</t>
        </is>
      </c>
      <c r="I193" s="5" t="inlineStr">
        <is>
          <t>Tonka Bean, Cashmeran, Amber</t>
        </is>
      </c>
      <c r="J193" s="6" t="n"/>
      <c r="K193" s="5" t="inlineStr">
        <is>
          <t>leather</t>
        </is>
      </c>
      <c r="L193" s="5" t="inlineStr">
        <is>
          <t>amber</t>
        </is>
      </c>
      <c r="M193" s="5" t="inlineStr">
        <is>
          <t>sweet, warm, sensual, deep</t>
        </is>
      </c>
      <c r="N193" s="5" t="inlineStr">
        <is>
          <t>tooSweet</t>
        </is>
      </c>
      <c r="O193" s="5" t="inlineStr">
        <is>
          <t>strong</t>
        </is>
      </c>
      <c r="P193" s="5" t="inlineStr">
        <is>
          <t>high</t>
        </is>
      </c>
      <c r="Q193" s="5" t="inlineStr">
        <is>
          <t>가을·겨울 · 저녁</t>
        </is>
      </c>
      <c r="R193" s="5" t="inlineStr">
        <is>
          <t>아몬드와 가죽이 짙게 어우러진 강렬한 향</t>
        </is>
      </c>
      <c r="S193" s="5" t="inlineStr">
        <is>
          <t>몇 시간 뒤엔 톤카빈과 앰버가 달콤하게 남아요</t>
        </is>
      </c>
      <c r="T193" s="5" t="inlineStr">
        <is>
          <t>라벤더 뒤 가죽과 아몬드 향이 부담스럽지 않은지 맡아보세요</t>
        </is>
      </c>
      <c r="U193" s="6" t="n"/>
      <c r="V193" s="6" t="n"/>
      <c r="W193" s="6" t="n"/>
      <c r="X193" s="6" t="n"/>
      <c r="Y193" s="4" t="inlineStr">
        <is>
          <t>톰 포드 백화점</t>
        </is>
      </c>
      <c r="Z193" s="6" t="inlineStr">
        <is>
          <t>백화점</t>
        </is>
      </c>
      <c r="AA193" s="6" t="inlineStr">
        <is>
          <t>tom-ford-fucking-fabulous.png</t>
        </is>
      </c>
      <c r="AB193" s="6" t="inlineStr">
        <is>
          <t>https://www.tomfordbeauty.com/products/fucking-fabulous-eau-de-parfum</t>
        </is>
      </c>
      <c r="AC193" s="4" t="inlineStr">
        <is>
          <t>AI 초안 (공식 확인 전)</t>
        </is>
      </c>
      <c r="AD193" s="4" t="inlineStr">
        <is>
          <t>노트·농도 공식 확인 / 국내 정가</t>
        </is>
      </c>
      <c r="AE193" s="6" t="inlineStr">
        <is>
          <t>보통 (앱에 표시)</t>
        </is>
      </c>
    </row>
    <row r="194">
      <c r="A194" s="4" t="inlineStr">
        <is>
          <t>kilian-good-girl-gone-bad</t>
        </is>
      </c>
      <c r="B194" s="4" t="inlineStr">
        <is>
          <t>Kilian Paris</t>
        </is>
      </c>
      <c r="C194" s="5" t="inlineStr">
        <is>
          <t>킬리안 파리</t>
        </is>
      </c>
      <c r="D194" s="4" t="inlineStr">
        <is>
          <t>Good Girl Gone Bad</t>
        </is>
      </c>
      <c r="E194" s="5" t="inlineStr">
        <is>
          <t>굿 걸 곤 배드</t>
        </is>
      </c>
      <c r="F194" s="5" t="inlineStr">
        <is>
          <t>EDP</t>
        </is>
      </c>
      <c r="G194" s="5" t="inlineStr">
        <is>
          <t>Osmanthus, Orange Blossom</t>
        </is>
      </c>
      <c r="H194" s="5" t="inlineStr">
        <is>
          <t>Rose, Jasmine</t>
        </is>
      </c>
      <c r="I194" s="5" t="inlineStr">
        <is>
          <t>Tuberose, Musk</t>
        </is>
      </c>
      <c r="J194" s="6" t="n"/>
      <c r="K194" s="5" t="inlineStr">
        <is>
          <t>whiteFloral</t>
        </is>
      </c>
      <c r="L194" s="5" t="inlineStr">
        <is>
          <t>floral</t>
        </is>
      </c>
      <c r="M194" s="5" t="inlineStr">
        <is>
          <t>elegant, sensual, warm, sweet</t>
        </is>
      </c>
      <c r="N194" s="5" t="inlineStr">
        <is>
          <t>heavyFloral</t>
        </is>
      </c>
      <c r="O194" s="5" t="inlineStr">
        <is>
          <t>strong</t>
        </is>
      </c>
      <c r="P194" s="5" t="inlineStr">
        <is>
          <t>high</t>
        </is>
      </c>
      <c r="Q194" s="5" t="inlineStr">
        <is>
          <t>봄·가을 · 저녁</t>
        </is>
      </c>
      <c r="R194" s="5" t="inlineStr">
        <is>
          <t>살구빛 꽃과 튜베로즈가 짙게 피어나는 향</t>
        </is>
      </c>
      <c r="S194" s="5" t="inlineStr">
        <is>
          <t>몇 시간 뒤엔 튜베로즈와 머스크가 부드럽게 남아요</t>
        </is>
      </c>
      <c r="T194" s="5" t="inlineStr">
        <is>
          <t>튜베로즈가 너무 진하게 느껴지지 않는지 맡아보세요</t>
        </is>
      </c>
      <c r="U194" s="6" t="n"/>
      <c r="V194" s="6" t="n"/>
      <c r="W194" s="6" t="n"/>
      <c r="X194" s="6" t="n"/>
      <c r="Y194" s="4" t="inlineStr">
        <is>
          <t>킬리안 백화점</t>
        </is>
      </c>
      <c r="Z194" s="6" t="inlineStr">
        <is>
          <t>백화점</t>
        </is>
      </c>
      <c r="AA194" s="6" t="n"/>
      <c r="AB194" s="6" t="n"/>
      <c r="AC194" s="4" t="inlineStr">
        <is>
          <t>AI 초안 (공식 확인 전)</t>
        </is>
      </c>
      <c r="AD194" s="4" t="inlineStr">
        <is>
          <t>노트·농도 공식 확인 / 국내 정가 / 이미지</t>
        </is>
      </c>
      <c r="AE194" s="6" t="inlineStr">
        <is>
          <t>낮음 (앱에 표시 안 함)</t>
        </is>
      </c>
    </row>
    <row r="195">
      <c r="A195" s="4" t="inlineStr">
        <is>
          <t>kilian-moonlight-in-heaven</t>
        </is>
      </c>
      <c r="B195" s="4" t="inlineStr">
        <is>
          <t>Kilian Paris</t>
        </is>
      </c>
      <c r="C195" s="5" t="inlineStr">
        <is>
          <t>킬리안 파리</t>
        </is>
      </c>
      <c r="D195" s="4" t="inlineStr">
        <is>
          <t>Moonlight in Heaven</t>
        </is>
      </c>
      <c r="E195" s="5" t="inlineStr">
        <is>
          <t>문라이트 인 헤븐</t>
        </is>
      </c>
      <c r="F195" s="5" t="inlineStr">
        <is>
          <t>EDP</t>
        </is>
      </c>
      <c r="G195" s="5" t="inlineStr">
        <is>
          <t>Grapefruit, Lemon, Pink Pepper</t>
        </is>
      </c>
      <c r="H195" s="5" t="inlineStr">
        <is>
          <t>Coconut Milk, Jasmine</t>
        </is>
      </c>
      <c r="I195" s="5" t="inlineStr">
        <is>
          <t>Tonka Bean, Vetiver</t>
        </is>
      </c>
      <c r="J195" s="6" t="n"/>
      <c r="K195" s="5" t="inlineStr">
        <is>
          <t>fruity</t>
        </is>
      </c>
      <c r="L195" s="5" t="inlineStr">
        <is>
          <t>citrus</t>
        </is>
      </c>
      <c r="M195" s="5" t="inlineStr">
        <is>
          <t>fresh, zesty, soft, sweet</t>
        </is>
      </c>
      <c r="N195" s="5" t="n"/>
      <c r="O195" s="5" t="inlineStr">
        <is>
          <t>medium</t>
        </is>
      </c>
      <c r="P195" s="5" t="inlineStr">
        <is>
          <t>mid</t>
        </is>
      </c>
      <c r="Q195" s="5" t="inlineStr">
        <is>
          <t>봄·여름 · 휴가</t>
        </is>
      </c>
      <c r="R195" s="5" t="inlineStr">
        <is>
          <t>자몽과 코코넛 밀크가 어우러진 부드러운 열대 향</t>
        </is>
      </c>
      <c r="S195" s="5" t="inlineStr">
        <is>
          <t>몇 시간 뒤엔 톤카빈과 베티버가 은은하게 남아요</t>
        </is>
      </c>
      <c r="T195" s="5" t="inlineStr">
        <is>
          <t>시트러스 뒤 코코넛의 크리미함이 어떤지 맡아보세요</t>
        </is>
      </c>
      <c r="U195" s="6" t="n"/>
      <c r="V195" s="6" t="n"/>
      <c r="W195" s="6" t="n"/>
      <c r="X195" s="6" t="n"/>
      <c r="Y195" s="4" t="inlineStr">
        <is>
          <t>킬리안 백화점</t>
        </is>
      </c>
      <c r="Z195" s="6" t="inlineStr">
        <is>
          <t>백화점</t>
        </is>
      </c>
      <c r="AA195" s="6" t="n"/>
      <c r="AB195" s="6" t="n"/>
      <c r="AC195" s="4" t="inlineStr">
        <is>
          <t>AI 초안 (공식 확인 전)</t>
        </is>
      </c>
      <c r="AD195" s="4" t="inlineStr">
        <is>
          <t>노트·농도 공식 확인 / 국내 정가 / 이미지</t>
        </is>
      </c>
      <c r="AE195" s="6" t="inlineStr">
        <is>
          <t>낮음 (앱에 표시 안 함)</t>
        </is>
      </c>
    </row>
    <row r="196">
      <c r="A196" s="4" t="inlineStr">
        <is>
          <t>kilian-rolling-in-love</t>
        </is>
      </c>
      <c r="B196" s="4" t="inlineStr">
        <is>
          <t>Kilian Paris</t>
        </is>
      </c>
      <c r="C196" s="5" t="inlineStr">
        <is>
          <t>킬리안 파리</t>
        </is>
      </c>
      <c r="D196" s="4" t="inlineStr">
        <is>
          <t>Rolling in Love</t>
        </is>
      </c>
      <c r="E196" s="5" t="inlineStr">
        <is>
          <t>롤링 인 러브</t>
        </is>
      </c>
      <c r="F196" s="5" t="inlineStr">
        <is>
          <t>EDP</t>
        </is>
      </c>
      <c r="G196" s="5" t="inlineStr">
        <is>
          <t>Ambrette, Almond</t>
        </is>
      </c>
      <c r="H196" s="5" t="inlineStr">
        <is>
          <t>Iris, Orange Blossom</t>
        </is>
      </c>
      <c r="I196" s="5" t="inlineStr">
        <is>
          <t>Musk, White Musk</t>
        </is>
      </c>
      <c r="J196" s="6" t="n"/>
      <c r="K196" s="5" t="inlineStr">
        <is>
          <t>musk</t>
        </is>
      </c>
      <c r="L196" s="5" t="inlineStr">
        <is>
          <t>powdery</t>
        </is>
      </c>
      <c r="M196" s="5" t="inlineStr">
        <is>
          <t>soft, cozy, sweet, lovely</t>
        </is>
      </c>
      <c r="N196" s="5" t="inlineStr">
        <is>
          <t>powdery, tooSweet</t>
        </is>
      </c>
      <c r="O196" s="5" t="inlineStr">
        <is>
          <t>medium</t>
        </is>
      </c>
      <c r="P196" s="5" t="inlineStr">
        <is>
          <t>mid</t>
        </is>
      </c>
      <c r="Q196" s="5" t="inlineStr">
        <is>
          <t>사계절 · 데이트</t>
        </is>
      </c>
      <c r="R196" s="5" t="inlineStr">
        <is>
          <t>아몬드 밀크와 머스크가 살갗처럼 감싸는 향</t>
        </is>
      </c>
      <c r="S196" s="5" t="inlineStr">
        <is>
          <t>몇 시간 뒤엔 보송한 머스크가 피부에 남아요</t>
        </is>
      </c>
      <c r="T196" s="5" t="inlineStr">
        <is>
          <t>붓꽃의 파우더리함이 부담스럽지 않은지 맡아보세요</t>
        </is>
      </c>
      <c r="U196" s="6" t="n"/>
      <c r="V196" s="6" t="n"/>
      <c r="W196" s="6" t="n"/>
      <c r="X196" s="6" t="n"/>
      <c r="Y196" s="4" t="inlineStr">
        <is>
          <t>킬리안 백화점</t>
        </is>
      </c>
      <c r="Z196" s="6" t="inlineStr">
        <is>
          <t>백화점</t>
        </is>
      </c>
      <c r="AA196" s="6" t="n"/>
      <c r="AB196" s="6" t="n"/>
      <c r="AC196" s="4" t="inlineStr">
        <is>
          <t>AI 초안 (공식 확인 전)</t>
        </is>
      </c>
      <c r="AD196" s="4" t="inlineStr">
        <is>
          <t>노트·농도 공식 확인 / 국내 정가 / 이미지</t>
        </is>
      </c>
      <c r="AE196" s="6" t="inlineStr">
        <is>
          <t>낮음 (앱에 표시 안 함)</t>
        </is>
      </c>
    </row>
    <row r="197">
      <c r="A197" s="4" t="inlineStr">
        <is>
          <t>maison-margiela-replica-under-the-lemon-trees</t>
        </is>
      </c>
      <c r="B197" s="4" t="inlineStr">
        <is>
          <t>Maison Margiela</t>
        </is>
      </c>
      <c r="C197" s="5" t="inlineStr">
        <is>
          <t>메종 마르지엘라</t>
        </is>
      </c>
      <c r="D197" s="4" t="inlineStr">
        <is>
          <t>Replica Under the Lemon Trees</t>
        </is>
      </c>
      <c r="E197" s="5" t="inlineStr">
        <is>
          <t>레플리카 언더 더 레몬 트리</t>
        </is>
      </c>
      <c r="F197" s="5" t="inlineStr">
        <is>
          <t>EDT</t>
        </is>
      </c>
      <c r="G197" s="5" t="inlineStr">
        <is>
          <t>Lemon, Cardamom</t>
        </is>
      </c>
      <c r="H197" s="5" t="inlineStr">
        <is>
          <t>Coriander, Green Tea</t>
        </is>
      </c>
      <c r="I197" s="5" t="inlineStr">
        <is>
          <t>Cedar, White Musk</t>
        </is>
      </c>
      <c r="J197" s="6" t="n"/>
      <c r="K197" s="5" t="inlineStr">
        <is>
          <t>citrus</t>
        </is>
      </c>
      <c r="L197" s="5" t="inlineStr">
        <is>
          <t>green</t>
        </is>
      </c>
      <c r="M197" s="5" t="inlineStr">
        <is>
          <t>fresh, zesty, clean, cool</t>
        </is>
      </c>
      <c r="N197" s="5" t="n"/>
      <c r="O197" s="5" t="inlineStr">
        <is>
          <t>light</t>
        </is>
      </c>
      <c r="P197" s="5" t="inlineStr">
        <is>
          <t>low</t>
        </is>
      </c>
      <c r="Q197" s="5" t="inlineStr">
        <is>
          <t>봄·여름 · 휴가</t>
        </is>
      </c>
      <c r="R197" s="5" t="inlineStr">
        <is>
          <t>레몬 나무 그늘 같은 싱그러운 시트러스</t>
        </is>
      </c>
      <c r="S197" s="5" t="inlineStr">
        <is>
          <t>몇 시간 뒤엔 가벼운 시더와 머스크가 깔끔하게 남아요</t>
        </is>
      </c>
      <c r="T197" s="5" t="inlineStr">
        <is>
          <t>레몬 뒤로 녹차의 풋풋함이 이어지는지 맡아보세요</t>
        </is>
      </c>
      <c r="U197" s="6" t="n"/>
      <c r="V197" s="6" t="n"/>
      <c r="W197" s="6" t="n"/>
      <c r="X197" s="6" t="n"/>
      <c r="Y197" s="4" t="inlineStr">
        <is>
          <t>메종 마르지엘라 백화점</t>
        </is>
      </c>
      <c r="Z197" s="6" t="inlineStr">
        <is>
          <t>백화점</t>
        </is>
      </c>
      <c r="AA197" s="6" t="inlineStr">
        <is>
          <t>maison-margiela-replica-under-the-lemon-trees.jpg</t>
        </is>
      </c>
      <c r="AB197" s="6" t="inlineStr">
        <is>
          <t>https://www.cultbeauty.co.uk/p/maison-margiela-replica-under-the-lemon-tree-s-eau-de-toilette-100ml/13183519/</t>
        </is>
      </c>
      <c r="AC197" s="4" t="inlineStr">
        <is>
          <t>AI 초안 (공식 확인 전)</t>
        </is>
      </c>
      <c r="AD197" s="4" t="inlineStr">
        <is>
          <t>노트·농도 공식 확인 / 국내 정가</t>
        </is>
      </c>
      <c r="AE197" s="6" t="inlineStr">
        <is>
          <t>보통 (앱에 표시)</t>
        </is>
      </c>
    </row>
    <row r="198">
      <c r="A198" s="4" t="inlineStr">
        <is>
          <t>maison-margiela-replica-when-the-rain-stops</t>
        </is>
      </c>
      <c r="B198" s="4" t="inlineStr">
        <is>
          <t>Maison Margiela</t>
        </is>
      </c>
      <c r="C198" s="5" t="inlineStr">
        <is>
          <t>메종 마르지엘라</t>
        </is>
      </c>
      <c r="D198" s="4" t="inlineStr">
        <is>
          <t>Replica When the Rain Stops</t>
        </is>
      </c>
      <c r="E198" s="5" t="inlineStr">
        <is>
          <t>레플리카 웬 더 레인 스탑스</t>
        </is>
      </c>
      <c r="F198" s="5" t="inlineStr">
        <is>
          <t>EDT</t>
        </is>
      </c>
      <c r="G198" s="5" t="inlineStr">
        <is>
          <t>Lotus, Geranium</t>
        </is>
      </c>
      <c r="H198" s="5" t="inlineStr">
        <is>
          <t>Iris</t>
        </is>
      </c>
      <c r="I198" s="5" t="inlineStr">
        <is>
          <t>Musk, Cedar</t>
        </is>
      </c>
      <c r="J198" s="6" t="n"/>
      <c r="K198" s="5" t="inlineStr">
        <is>
          <t>aqua</t>
        </is>
      </c>
      <c r="L198" s="5" t="inlineStr">
        <is>
          <t>floral</t>
        </is>
      </c>
      <c r="M198" s="5" t="inlineStr">
        <is>
          <t>fresh, calm, soft, clean, cool</t>
        </is>
      </c>
      <c r="N198" s="5" t="n"/>
      <c r="O198" s="5" t="inlineStr">
        <is>
          <t>light</t>
        </is>
      </c>
      <c r="P198" s="5" t="inlineStr">
        <is>
          <t>low</t>
        </is>
      </c>
      <c r="Q198" s="5" t="inlineStr">
        <is>
          <t>봄·가을 · 산책</t>
        </is>
      </c>
      <c r="R198" s="5" t="inlineStr">
        <is>
          <t>비 갠 뒤 공기 같은 맑은 꽃 향</t>
        </is>
      </c>
      <c r="S198" s="5" t="inlineStr">
        <is>
          <t>몇 시간 뒤엔 보송한 머스크가 은은하게 남아요</t>
        </is>
      </c>
      <c r="T198" s="5" t="inlineStr">
        <is>
          <t>젖은 풀잎 같은 투명함이 꽃 향과 어떻게 섞이는지 맡아보세요</t>
        </is>
      </c>
      <c r="U198" s="6" t="n"/>
      <c r="V198" s="6" t="n"/>
      <c r="W198" s="6" t="n"/>
      <c r="X198" s="6" t="n"/>
      <c r="Y198" s="4" t="inlineStr">
        <is>
          <t>메종 마르지엘라 백화점</t>
        </is>
      </c>
      <c r="Z198" s="6" t="inlineStr">
        <is>
          <t>백화점</t>
        </is>
      </c>
      <c r="AA198" s="6" t="inlineStr">
        <is>
          <t>maison-margiela-replica-when-the-rain-stops.jpg</t>
        </is>
      </c>
      <c r="AB198" s="6" t="inlineStr">
        <is>
          <t>https://www.belleandblush.com/collections/all/products/replica-when-the-rain-stops-eau-de-toilette</t>
        </is>
      </c>
      <c r="AC198" s="4" t="inlineStr">
        <is>
          <t>AI 초안 (공식 확인 전)</t>
        </is>
      </c>
      <c r="AD198" s="4" t="inlineStr">
        <is>
          <t>노트·농도 공식 확인 / 국내 정가</t>
        </is>
      </c>
      <c r="AE198" s="6" t="inlineStr">
        <is>
          <t>보통 (앱에 표시)</t>
        </is>
      </c>
    </row>
    <row r="199">
      <c r="A199" s="4" t="inlineStr">
        <is>
          <t>maison-margiela-replica-bubble-bath</t>
        </is>
      </c>
      <c r="B199" s="4" t="inlineStr">
        <is>
          <t>Maison Margiela</t>
        </is>
      </c>
      <c r="C199" s="5" t="inlineStr">
        <is>
          <t>메종 마르지엘라</t>
        </is>
      </c>
      <c r="D199" s="4" t="inlineStr">
        <is>
          <t>Replica Bubble Bath</t>
        </is>
      </c>
      <c r="E199" s="5" t="inlineStr">
        <is>
          <t>레플리카 버블 배스</t>
        </is>
      </c>
      <c r="F199" s="5" t="inlineStr">
        <is>
          <t>EDT</t>
        </is>
      </c>
      <c r="G199" s="5" t="inlineStr">
        <is>
          <t>Aldehydes, Pink Pepper</t>
        </is>
      </c>
      <c r="H199" s="5" t="inlineStr">
        <is>
          <t>Rose, Lavender</t>
        </is>
      </c>
      <c r="I199" s="5" t="inlineStr">
        <is>
          <t>White Musk, Cedar</t>
        </is>
      </c>
      <c r="J199" s="6" t="n"/>
      <c r="K199" s="5" t="inlineStr">
        <is>
          <t>musk</t>
        </is>
      </c>
      <c r="L199" s="5" t="inlineStr">
        <is>
          <t>aqua</t>
        </is>
      </c>
      <c r="M199" s="5" t="inlineStr">
        <is>
          <t>clean, soft, fresh, calm, cozy</t>
        </is>
      </c>
      <c r="N199" s="5" t="inlineStr">
        <is>
          <t>soapy</t>
        </is>
      </c>
      <c r="O199" s="5" t="inlineStr">
        <is>
          <t>light</t>
        </is>
      </c>
      <c r="P199" s="5" t="inlineStr">
        <is>
          <t>low</t>
        </is>
      </c>
      <c r="Q199" s="5" t="inlineStr">
        <is>
          <t>사계절 · 데일리</t>
        </is>
      </c>
      <c r="R199" s="5" t="inlineStr">
        <is>
          <t>갓 씻은 듯 포근하고 깨끗한 비누 향</t>
        </is>
      </c>
      <c r="S199" s="5" t="inlineStr">
        <is>
          <t>몇 시간 뒤엔 보송한 머스크 향이 피부에 남아요</t>
        </is>
      </c>
      <c r="T199" s="5" t="inlineStr">
        <is>
          <t>비누 거품 같은 깨끗함이 부담 없이 느껴지는지 맡아보세요</t>
        </is>
      </c>
      <c r="U199" s="6" t="n"/>
      <c r="V199" s="6" t="n"/>
      <c r="W199" s="6" t="n"/>
      <c r="X199" s="6" t="n"/>
      <c r="Y199" s="4" t="inlineStr">
        <is>
          <t>메종 마르지엘라 백화점</t>
        </is>
      </c>
      <c r="Z199" s="6" t="inlineStr">
        <is>
          <t>백화점</t>
        </is>
      </c>
      <c r="AA199" s="6" t="inlineStr">
        <is>
          <t>maison-margiela-replica-bubble-bath.jpg</t>
        </is>
      </c>
      <c r="AB199" s="6" t="inlineStr">
        <is>
          <t>https://www.belleandblush.com/collections/all/products/replica-bubble-bath-eau-de-toilette</t>
        </is>
      </c>
      <c r="AC199" s="4" t="inlineStr">
        <is>
          <t>AI 초안 (공식 확인 전)</t>
        </is>
      </c>
      <c r="AD199" s="4" t="inlineStr">
        <is>
          <t>노트·농도 공식 확인 / 국내 정가</t>
        </is>
      </c>
      <c r="AE199" s="6" t="inlineStr">
        <is>
          <t>보통 (앱에 표시)</t>
        </is>
      </c>
    </row>
    <row r="200">
      <c r="A200" s="4" t="inlineStr">
        <is>
          <t>maison-margiela-replica-coffee-break</t>
        </is>
      </c>
      <c r="B200" s="4" t="inlineStr">
        <is>
          <t>Maison Margiela</t>
        </is>
      </c>
      <c r="C200" s="5" t="inlineStr">
        <is>
          <t>메종 마르지엘라</t>
        </is>
      </c>
      <c r="D200" s="4" t="inlineStr">
        <is>
          <t>Replica Coffee Break</t>
        </is>
      </c>
      <c r="E200" s="5" t="inlineStr">
        <is>
          <t>레플리카 커피 브레이크</t>
        </is>
      </c>
      <c r="F200" s="5" t="inlineStr">
        <is>
          <t>EDT</t>
        </is>
      </c>
      <c r="G200" s="5" t="inlineStr">
        <is>
          <t>Pink Pepper, Coriander</t>
        </is>
      </c>
      <c r="H200" s="5" t="inlineStr">
        <is>
          <t>Coffee, Coconut Milk</t>
        </is>
      </c>
      <c r="I200" s="5" t="inlineStr">
        <is>
          <t>Sandalwood, Tonka Bean, Vanilla</t>
        </is>
      </c>
      <c r="J200" s="6" t="n"/>
      <c r="K200" s="5" t="inlineStr">
        <is>
          <t>gourmand</t>
        </is>
      </c>
      <c r="L200" s="5" t="inlineStr">
        <is>
          <t>woody</t>
        </is>
      </c>
      <c r="M200" s="5" t="inlineStr">
        <is>
          <t>cozy, warm, sweet, soft</t>
        </is>
      </c>
      <c r="N200" s="5" t="n"/>
      <c r="O200" s="5" t="inlineStr">
        <is>
          <t>medium</t>
        </is>
      </c>
      <c r="P200" s="5" t="inlineStr">
        <is>
          <t>mid</t>
        </is>
      </c>
      <c r="Q200" s="5" t="inlineStr">
        <is>
          <t>가을·겨울 · 카페</t>
        </is>
      </c>
      <c r="R200" s="5" t="inlineStr">
        <is>
          <t>크리미한 커피와 우유가 어우러진 따뜻한 향</t>
        </is>
      </c>
      <c r="S200" s="5" t="inlineStr">
        <is>
          <t>몇 시간 뒤엔 부드러운 나무와 바닐라가 남아요</t>
        </is>
      </c>
      <c r="T200" s="5" t="inlineStr">
        <is>
          <t>커피의 쌉싸름함과 부드러운 우유 느낌의 균형을 맡아보세요</t>
        </is>
      </c>
      <c r="U200" s="6" t="n"/>
      <c r="V200" s="6" t="n"/>
      <c r="W200" s="6" t="n"/>
      <c r="X200" s="6" t="n"/>
      <c r="Y200" s="4" t="inlineStr">
        <is>
          <t>메종 마르지엘라 백화점</t>
        </is>
      </c>
      <c r="Z200" s="6" t="inlineStr">
        <is>
          <t>백화점</t>
        </is>
      </c>
      <c r="AA200" s="6" t="inlineStr">
        <is>
          <t>maison-margiela-replica-coffee-break.jpg</t>
        </is>
      </c>
      <c r="AB200" s="6" t="inlineStr">
        <is>
          <t>https://www.belleandblush.com/collections/all/products/replica-coffee-break-eau-de-toilette</t>
        </is>
      </c>
      <c r="AC200" s="4" t="inlineStr">
        <is>
          <t>AI 초안 (공식 확인 전)</t>
        </is>
      </c>
      <c r="AD200" s="4" t="inlineStr">
        <is>
          <t>노트·농도 공식 확인 / 국내 정가</t>
        </is>
      </c>
      <c r="AE200" s="6" t="inlineStr">
        <is>
          <t>보통 (앱에 표시)</t>
        </is>
      </c>
    </row>
    <row r="201">
      <c r="A201" s="4" t="inlineStr">
        <is>
          <t>maison-margiela-replica-springtime-in-a-park</t>
        </is>
      </c>
      <c r="B201" s="4" t="inlineStr">
        <is>
          <t>Maison Margiela</t>
        </is>
      </c>
      <c r="C201" s="5" t="inlineStr">
        <is>
          <t>메종 마르지엘라</t>
        </is>
      </c>
      <c r="D201" s="4" t="inlineStr">
        <is>
          <t>Replica Springtime in a Park</t>
        </is>
      </c>
      <c r="E201" s="5" t="inlineStr">
        <is>
          <t>레플리카 스프링타임 인 어 파크</t>
        </is>
      </c>
      <c r="F201" s="5" t="inlineStr">
        <is>
          <t>EDT</t>
        </is>
      </c>
      <c r="G201" s="5" t="inlineStr">
        <is>
          <t>Pear, Rhubarb</t>
        </is>
      </c>
      <c r="H201" s="5" t="inlineStr">
        <is>
          <t>Rose, Peony</t>
        </is>
      </c>
      <c r="I201" s="5" t="inlineStr">
        <is>
          <t>White Musk, Cedar</t>
        </is>
      </c>
      <c r="J201" s="6" t="n"/>
      <c r="K201" s="5" t="inlineStr">
        <is>
          <t>floral</t>
        </is>
      </c>
      <c r="L201" s="5" t="inlineStr">
        <is>
          <t>fruity</t>
        </is>
      </c>
      <c r="M201" s="5" t="inlineStr">
        <is>
          <t>lovely, fresh, soft</t>
        </is>
      </c>
      <c r="N201" s="5" t="n"/>
      <c r="O201" s="5" t="inlineStr">
        <is>
          <t>light</t>
        </is>
      </c>
      <c r="P201" s="5" t="inlineStr">
        <is>
          <t>low</t>
        </is>
      </c>
      <c r="Q201" s="5" t="inlineStr">
        <is>
          <t>봄 · 데이트</t>
        </is>
      </c>
      <c r="R201" s="5" t="inlineStr">
        <is>
          <t>봄 공원의 꽃과 과일이 어우러진 산뜻한 향</t>
        </is>
      </c>
      <c r="S201" s="5" t="inlineStr">
        <is>
          <t>몇 시간 뒤엔 보송한 머스크와 은은한 꽃 향이 남아요</t>
        </is>
      </c>
      <c r="T201" s="5" t="inlineStr">
        <is>
          <t>새콤한 과일 향이 꽃 향으로 부드럽게 이어지는지 맡아보세요</t>
        </is>
      </c>
      <c r="U201" s="6" t="n"/>
      <c r="V201" s="6" t="n"/>
      <c r="W201" s="6" t="n"/>
      <c r="X201" s="6" t="n"/>
      <c r="Y201" s="4" t="inlineStr">
        <is>
          <t>메종 마르지엘라 백화점</t>
        </is>
      </c>
      <c r="Z201" s="6" t="inlineStr">
        <is>
          <t>백화점</t>
        </is>
      </c>
      <c r="AA201" s="6" t="inlineStr">
        <is>
          <t>maison-margiela-replica-springtime-in-a-park.jpg</t>
        </is>
      </c>
      <c r="AB201" s="6" t="inlineStr">
        <is>
          <t>https://www.belleandblush.com/collections/all/products/replica-springtime-in-a-park-eau-de-toilette</t>
        </is>
      </c>
      <c r="AC201" s="4" t="inlineStr">
        <is>
          <t>AI 초안 (공식 확인 전)</t>
        </is>
      </c>
      <c r="AD201" s="4" t="inlineStr">
        <is>
          <t>노트·농도 공식 확인 / 국내 정가</t>
        </is>
      </c>
      <c r="AE201" s="6" t="inlineStr">
        <is>
          <t>보통 (앱에 표시)</t>
        </is>
      </c>
    </row>
    <row r="202">
      <c r="A202" s="4" t="inlineStr">
        <is>
          <t>maison-margiela-replica-sailing-day</t>
        </is>
      </c>
      <c r="B202" s="4" t="inlineStr">
        <is>
          <t>Maison Margiela</t>
        </is>
      </c>
      <c r="C202" s="5" t="inlineStr">
        <is>
          <t>메종 마르지엘라</t>
        </is>
      </c>
      <c r="D202" s="4" t="inlineStr">
        <is>
          <t>Replica Sailing Day</t>
        </is>
      </c>
      <c r="E202" s="5" t="inlineStr">
        <is>
          <t>레플리카 세일링 데이</t>
        </is>
      </c>
      <c r="F202" s="5" t="inlineStr">
        <is>
          <t>EDT</t>
        </is>
      </c>
      <c r="G202" s="5" t="inlineStr">
        <is>
          <t>Sea Notes, Aldehydes</t>
        </is>
      </c>
      <c r="H202" s="5" t="inlineStr">
        <is>
          <t>Coriander, Juniper Berries</t>
        </is>
      </c>
      <c r="I202" s="5" t="inlineStr">
        <is>
          <t>Ambergris, White Musk</t>
        </is>
      </c>
      <c r="J202" s="6" t="n"/>
      <c r="K202" s="5" t="inlineStr">
        <is>
          <t>aqua</t>
        </is>
      </c>
      <c r="L202" s="5" t="inlineStr">
        <is>
          <t>aromatic</t>
        </is>
      </c>
      <c r="M202" s="5" t="inlineStr">
        <is>
          <t>cool, fresh, clean</t>
        </is>
      </c>
      <c r="N202" s="5" t="n"/>
      <c r="O202" s="5" t="inlineStr">
        <is>
          <t>light</t>
        </is>
      </c>
      <c r="P202" s="5" t="inlineStr">
        <is>
          <t>low</t>
        </is>
      </c>
      <c r="Q202" s="5" t="inlineStr">
        <is>
          <t>여름 · 휴가</t>
        </is>
      </c>
      <c r="R202" s="5" t="inlineStr">
        <is>
          <t>바닷바람과 소금기가 느껴지는 청량한 향</t>
        </is>
      </c>
      <c r="S202" s="5" t="inlineStr">
        <is>
          <t>몇 시간 뒤엔 깨끗한 머스크가 잔잔하게 남아요</t>
        </is>
      </c>
      <c r="T202" s="5" t="inlineStr">
        <is>
          <t>짭짤한 바다 느낌이 너무 비누처럼 느껴지지 않는지 맡아보세요</t>
        </is>
      </c>
      <c r="U202" s="6" t="n"/>
      <c r="V202" s="6" t="n"/>
      <c r="W202" s="6" t="n"/>
      <c r="X202" s="6" t="n"/>
      <c r="Y202" s="4" t="inlineStr">
        <is>
          <t>메종 마르지엘라 백화점</t>
        </is>
      </c>
      <c r="Z202" s="6" t="inlineStr">
        <is>
          <t>백화점</t>
        </is>
      </c>
      <c r="AA202" s="6" t="n"/>
      <c r="AB202" s="6" t="n"/>
      <c r="AC202" s="4" t="inlineStr">
        <is>
          <t>AI 초안 (공식 확인 전)</t>
        </is>
      </c>
      <c r="AD202" s="4" t="inlineStr">
        <is>
          <t>노트·농도 공식 확인 / 국내 정가 / 이미지</t>
        </is>
      </c>
      <c r="AE202" s="6" t="inlineStr">
        <is>
          <t>보통 (앱에 표시)</t>
        </is>
      </c>
    </row>
    <row r="203">
      <c r="A203" s="4" t="inlineStr">
        <is>
          <t>creed-aventus-for-her</t>
        </is>
      </c>
      <c r="B203" s="4" t="inlineStr">
        <is>
          <t>Creed</t>
        </is>
      </c>
      <c r="C203" s="5" t="inlineStr">
        <is>
          <t>크리드</t>
        </is>
      </c>
      <c r="D203" s="4" t="inlineStr">
        <is>
          <t>Aventus for Her</t>
        </is>
      </c>
      <c r="E203" s="5" t="inlineStr">
        <is>
          <t>어벤투스 포 허</t>
        </is>
      </c>
      <c r="F203" s="5" t="inlineStr">
        <is>
          <t>EDP</t>
        </is>
      </c>
      <c r="G203" s="5" t="inlineStr">
        <is>
          <t>Lemon, Bergamot, Apple</t>
        </is>
      </c>
      <c r="H203" s="5" t="inlineStr">
        <is>
          <t>Rose, Pink Pepper, Pineapple</t>
        </is>
      </c>
      <c r="I203" s="5" t="inlineStr">
        <is>
          <t>Patchouli, Birch, Musk</t>
        </is>
      </c>
      <c r="J203" s="6" t="inlineStr">
        <is>
          <t>https://www.creedboutique.com/products/aventus-for-her</t>
        </is>
      </c>
      <c r="K203" s="5" t="inlineStr">
        <is>
          <t>fruity</t>
        </is>
      </c>
      <c r="L203" s="5" t="inlineStr">
        <is>
          <t>woody</t>
        </is>
      </c>
      <c r="M203" s="5" t="inlineStr">
        <is>
          <t>fresh, zesty, elegant, sweet</t>
        </is>
      </c>
      <c r="N203" s="5" t="n"/>
      <c r="O203" s="5" t="inlineStr">
        <is>
          <t>medium</t>
        </is>
      </c>
      <c r="P203" s="5" t="inlineStr">
        <is>
          <t>mid</t>
        </is>
      </c>
      <c r="Q203" s="5" t="inlineStr">
        <is>
          <t>사계절 · 출근</t>
        </is>
      </c>
      <c r="R203" s="5" t="inlineStr">
        <is>
          <t>사과와 장미에 우디한 결이 더해진 세련된 향</t>
        </is>
      </c>
      <c r="S203" s="5" t="inlineStr">
        <is>
          <t>몇 시간 뒤엔 패출리와 머스크가 부드럽게 남아요</t>
        </is>
      </c>
      <c r="T203" s="5" t="inlineStr">
        <is>
          <t>새콤한 과일 향 뒤에 나무 향이 어떻게 이어지는지 맡아보세요</t>
        </is>
      </c>
      <c r="U203" s="6" t="n"/>
      <c r="V203" s="6" t="n"/>
      <c r="W203" s="6" t="n"/>
      <c r="X203" s="6" t="n"/>
      <c r="Y203" s="4" t="inlineStr">
        <is>
          <t>크리드 백화점</t>
        </is>
      </c>
      <c r="Z203" s="6" t="inlineStr">
        <is>
          <t>면세점</t>
        </is>
      </c>
      <c r="AA203" s="6" t="inlineStr">
        <is>
          <t>creed-aventus-for-her.jpg</t>
        </is>
      </c>
      <c r="AB203" s="6" t="inlineStr">
        <is>
          <t>https://www.creedboutique.com/products/aventus-for-her</t>
        </is>
      </c>
      <c r="AC203" s="4" t="inlineStr">
        <is>
          <t>AI 초안 (공식 확인 전)</t>
        </is>
      </c>
      <c r="AD203" s="4" t="inlineStr">
        <is>
          <t>노트·농도 공식 확인 / 국내 정가</t>
        </is>
      </c>
      <c r="AE203" s="6" t="inlineStr">
        <is>
          <t>낮음 (앱에 표시 안 함)</t>
        </is>
      </c>
    </row>
    <row r="204">
      <c r="A204" s="4" t="inlineStr">
        <is>
          <t>creed-viking</t>
        </is>
      </c>
      <c r="B204" s="4" t="inlineStr">
        <is>
          <t>Creed</t>
        </is>
      </c>
      <c r="C204" s="5" t="inlineStr">
        <is>
          <t>크리드</t>
        </is>
      </c>
      <c r="D204" s="4" t="inlineStr">
        <is>
          <t>Viking</t>
        </is>
      </c>
      <c r="E204" s="5" t="inlineStr">
        <is>
          <t>바이킹</t>
        </is>
      </c>
      <c r="F204" s="5" t="inlineStr">
        <is>
          <t>EDP</t>
        </is>
      </c>
      <c r="G204" s="5" t="inlineStr">
        <is>
          <t>Bergamot, Lemon, Mint, Pink Pepper</t>
        </is>
      </c>
      <c r="H204" s="5" t="inlineStr">
        <is>
          <t>Rose, Lavender, Clove</t>
        </is>
      </c>
      <c r="I204" s="5" t="inlineStr">
        <is>
          <t>Cedar, Tonka Bean, Vetiver, White Musk</t>
        </is>
      </c>
      <c r="J204" s="6" t="inlineStr">
        <is>
          <t>https://www.creedboutique.com/products/viking</t>
        </is>
      </c>
      <c r="K204" s="5" t="inlineStr">
        <is>
          <t>aromatic</t>
        </is>
      </c>
      <c r="L204" s="5" t="inlineStr">
        <is>
          <t>spicy</t>
        </is>
      </c>
      <c r="M204" s="5" t="inlineStr">
        <is>
          <t>fresh, warm, deep</t>
        </is>
      </c>
      <c r="N204" s="5" t="inlineStr">
        <is>
          <t>spicy</t>
        </is>
      </c>
      <c r="O204" s="5" t="inlineStr">
        <is>
          <t>medium</t>
        </is>
      </c>
      <c r="P204" s="5" t="inlineStr">
        <is>
          <t>mid</t>
        </is>
      </c>
      <c r="Q204" s="5" t="inlineStr">
        <is>
          <t>가을·겨울 · 모임</t>
        </is>
      </c>
      <c r="R204" s="5" t="inlineStr">
        <is>
          <t>시원한 민트와 향신료가 섞인 힘 있는 향</t>
        </is>
      </c>
      <c r="S204" s="5" t="inlineStr">
        <is>
          <t>몇 시간 뒤엔 시더와 베티버가 차분히 남아요</t>
        </is>
      </c>
      <c r="T204" s="5" t="inlineStr">
        <is>
          <t>민트의 서늘함과 향신료의 따뜻함이 같이 느껴지는지 맡아보세요</t>
        </is>
      </c>
      <c r="U204" s="6" t="n"/>
      <c r="V204" s="6" t="n"/>
      <c r="W204" s="6" t="n"/>
      <c r="X204" s="6" t="n"/>
      <c r="Y204" s="4" t="inlineStr">
        <is>
          <t>크리드 백화점</t>
        </is>
      </c>
      <c r="Z204" s="6" t="inlineStr">
        <is>
          <t>면세점</t>
        </is>
      </c>
      <c r="AA204" s="6" t="inlineStr">
        <is>
          <t>creed-viking.jpg</t>
        </is>
      </c>
      <c r="AB204" s="6" t="inlineStr">
        <is>
          <t>https://www.creedboutique.com/products/viking</t>
        </is>
      </c>
      <c r="AC204" s="4" t="inlineStr">
        <is>
          <t>AI 초안 (공식 확인 전)</t>
        </is>
      </c>
      <c r="AD204" s="4" t="inlineStr">
        <is>
          <t>노트·농도 공식 확인 / 국내 정가</t>
        </is>
      </c>
      <c r="AE204" s="6" t="inlineStr">
        <is>
          <t>낮음 (앱에 표시 안 함)</t>
        </is>
      </c>
    </row>
    <row r="205">
      <c r="A205" s="4" t="inlineStr">
        <is>
          <t>creed-virgin-island-water</t>
        </is>
      </c>
      <c r="B205" s="4" t="inlineStr">
        <is>
          <t>Creed</t>
        </is>
      </c>
      <c r="C205" s="5" t="inlineStr">
        <is>
          <t>크리드</t>
        </is>
      </c>
      <c r="D205" s="4" t="inlineStr">
        <is>
          <t>Virgin Island Water</t>
        </is>
      </c>
      <c r="E205" s="5" t="inlineStr">
        <is>
          <t>버진 아일랜드 워터</t>
        </is>
      </c>
      <c r="F205" s="5" t="inlineStr">
        <is>
          <t>EDP</t>
        </is>
      </c>
      <c r="G205" s="5" t="inlineStr">
        <is>
          <t>Lime, Bergamot</t>
        </is>
      </c>
      <c r="H205" s="5" t="inlineStr">
        <is>
          <t>Coconut Milk, Jasmine</t>
        </is>
      </c>
      <c r="I205" s="5" t="inlineStr">
        <is>
          <t>Tonka Bean, White Musk, Patchouli</t>
        </is>
      </c>
      <c r="J205" s="6" t="inlineStr">
        <is>
          <t>https://www.creedboutique.com/products/virgin-island-water</t>
        </is>
      </c>
      <c r="K205" s="5" t="inlineStr">
        <is>
          <t>citrus</t>
        </is>
      </c>
      <c r="L205" s="5" t="inlineStr">
        <is>
          <t>fruity</t>
        </is>
      </c>
      <c r="M205" s="5" t="inlineStr">
        <is>
          <t>fresh, zesty, cool, clean</t>
        </is>
      </c>
      <c r="N205" s="5" t="n"/>
      <c r="O205" s="5" t="inlineStr">
        <is>
          <t>medium</t>
        </is>
      </c>
      <c r="P205" s="5" t="inlineStr">
        <is>
          <t>low</t>
        </is>
      </c>
      <c r="Q205" s="5" t="inlineStr">
        <is>
          <t>여름 · 휴가</t>
        </is>
      </c>
      <c r="R205" s="5" t="inlineStr">
        <is>
          <t>라임과 코코넛이 시원하게 어우러진 휴양지 향</t>
        </is>
      </c>
      <c r="S205" s="5" t="inlineStr">
        <is>
          <t>몇 시간 뒤엔 부드러운 머스크와 은은한 단내가 남아요</t>
        </is>
      </c>
      <c r="T205" s="5" t="inlineStr">
        <is>
          <t>라임의 상큼함 뒤로 코코넛이 너무 달지 않은지 맡아보세요</t>
        </is>
      </c>
      <c r="U205" s="6" t="n"/>
      <c r="V205" s="6" t="n"/>
      <c r="W205" s="6" t="n"/>
      <c r="X205" s="6" t="n"/>
      <c r="Y205" s="4" t="inlineStr">
        <is>
          <t>크리드 백화점</t>
        </is>
      </c>
      <c r="Z205" s="6" t="inlineStr">
        <is>
          <t>면세점</t>
        </is>
      </c>
      <c r="AA205" s="6" t="inlineStr">
        <is>
          <t>creed-virgin-island-water.jpg</t>
        </is>
      </c>
      <c r="AB205" s="6" t="inlineStr">
        <is>
          <t>https://www.creedboutique.com/products/virgin-island-water</t>
        </is>
      </c>
      <c r="AC205" s="4" t="inlineStr">
        <is>
          <t>AI 초안 (공식 확인 전)</t>
        </is>
      </c>
      <c r="AD205" s="4" t="inlineStr">
        <is>
          <t>노트·농도 공식 확인 / 국내 정가</t>
        </is>
      </c>
      <c r="AE205" s="6" t="inlineStr">
        <is>
          <t>낮음 (앱에 표시 안 함)</t>
        </is>
      </c>
    </row>
    <row r="206">
      <c r="A206" s="4" t="inlineStr">
        <is>
          <t>creed-love-in-white</t>
        </is>
      </c>
      <c r="B206" s="4" t="inlineStr">
        <is>
          <t>Creed</t>
        </is>
      </c>
      <c r="C206" s="5" t="inlineStr">
        <is>
          <t>크리드</t>
        </is>
      </c>
      <c r="D206" s="4" t="inlineStr">
        <is>
          <t>Love in White</t>
        </is>
      </c>
      <c r="E206" s="5" t="inlineStr">
        <is>
          <t>러브 인 화이트</t>
        </is>
      </c>
      <c r="F206" s="5" t="inlineStr">
        <is>
          <t>EDP</t>
        </is>
      </c>
      <c r="G206" s="5" t="inlineStr">
        <is>
          <t>Orange, Apple</t>
        </is>
      </c>
      <c r="H206" s="5" t="inlineStr">
        <is>
          <t>Iris, Magnolia, Rose</t>
        </is>
      </c>
      <c r="I206" s="5" t="inlineStr">
        <is>
          <t>Musk, Cedar</t>
        </is>
      </c>
      <c r="J206" s="6" t="inlineStr">
        <is>
          <t>https://www.creedboutique.com/products/love-in-white</t>
        </is>
      </c>
      <c r="K206" s="5" t="inlineStr">
        <is>
          <t>whiteFloral</t>
        </is>
      </c>
      <c r="L206" s="5" t="inlineStr">
        <is>
          <t>powdery</t>
        </is>
      </c>
      <c r="M206" s="5" t="inlineStr">
        <is>
          <t>soft, elegant, clean, lovely</t>
        </is>
      </c>
      <c r="N206" s="5" t="inlineStr">
        <is>
          <t>powdery</t>
        </is>
      </c>
      <c r="O206" s="5" t="inlineStr">
        <is>
          <t>medium</t>
        </is>
      </c>
      <c r="P206" s="5" t="inlineStr">
        <is>
          <t>mid</t>
        </is>
      </c>
      <c r="Q206" s="5" t="inlineStr">
        <is>
          <t>봄 · 데이트</t>
        </is>
      </c>
      <c r="R206" s="5" t="inlineStr">
        <is>
          <t>하얀 꽃과 아이리스가 은은한 단정한 향</t>
        </is>
      </c>
      <c r="S206" s="5" t="inlineStr">
        <is>
          <t>몇 시간 뒤엔 보송한 머스크와 나무 향이 남아요</t>
        </is>
      </c>
      <c r="T206" s="5" t="inlineStr">
        <is>
          <t>아이리스의 파우더리함이 부담 없는 정도인지 맡아보세요</t>
        </is>
      </c>
      <c r="U206" s="6" t="n"/>
      <c r="V206" s="6" t="n"/>
      <c r="W206" s="6" t="n"/>
      <c r="X206" s="6" t="n"/>
      <c r="Y206" s="4" t="inlineStr">
        <is>
          <t>크리드 백화점</t>
        </is>
      </c>
      <c r="Z206" s="6" t="inlineStr">
        <is>
          <t>면세점</t>
        </is>
      </c>
      <c r="AA206" s="6" t="inlineStr">
        <is>
          <t>creed-love-in-white.jpg</t>
        </is>
      </c>
      <c r="AB206" s="6" t="inlineStr">
        <is>
          <t>https://www.creedboutique.com/products/love-in-white</t>
        </is>
      </c>
      <c r="AC206" s="4" t="inlineStr">
        <is>
          <t>AI 초안 (공식 확인 전)</t>
        </is>
      </c>
      <c r="AD206" s="4" t="inlineStr">
        <is>
          <t>노트·농도 공식 확인 / 국내 정가</t>
        </is>
      </c>
      <c r="AE206" s="6" t="inlineStr">
        <is>
          <t>낮음 (앱에 표시 안 함)</t>
        </is>
      </c>
    </row>
    <row r="207">
      <c r="A207" s="4" t="inlineStr">
        <is>
          <t>parfums-de-marly-pegasus</t>
        </is>
      </c>
      <c r="B207" s="4" t="inlineStr">
        <is>
          <t>Parfums de Marly</t>
        </is>
      </c>
      <c r="C207" s="5" t="inlineStr">
        <is>
          <t>파르팜 드 말리</t>
        </is>
      </c>
      <c r="D207" s="4" t="inlineStr">
        <is>
          <t>Pegasus</t>
        </is>
      </c>
      <c r="E207" s="5" t="inlineStr">
        <is>
          <t>페가수스</t>
        </is>
      </c>
      <c r="F207" s="5" t="inlineStr">
        <is>
          <t>EDP</t>
        </is>
      </c>
      <c r="G207" s="5" t="inlineStr">
        <is>
          <t>Bergamot, Almond</t>
        </is>
      </c>
      <c r="H207" s="5" t="inlineStr">
        <is>
          <t>Cypress, Violet Leaf, Orange Blossom</t>
        </is>
      </c>
      <c r="I207" s="5" t="inlineStr">
        <is>
          <t>Vanilla, Sandalwood, Ambroxan</t>
        </is>
      </c>
      <c r="J207" s="6" t="inlineStr">
        <is>
          <t>https://www.parfums-de-marly.com/products/pegasus</t>
        </is>
      </c>
      <c r="K207" s="5" t="inlineStr">
        <is>
          <t>gourmand</t>
        </is>
      </c>
      <c r="L207" s="5" t="inlineStr">
        <is>
          <t>aromatic</t>
        </is>
      </c>
      <c r="M207" s="5" t="inlineStr">
        <is>
          <t>warm, soft, elegant, cozy, sweet</t>
        </is>
      </c>
      <c r="N207" s="5" t="n"/>
      <c r="O207" s="5" t="inlineStr">
        <is>
          <t>medium</t>
        </is>
      </c>
      <c r="P207" s="5" t="inlineStr">
        <is>
          <t>mid</t>
        </is>
      </c>
      <c r="Q207" s="5" t="inlineStr">
        <is>
          <t>가을·겨울 · 데이트</t>
        </is>
      </c>
      <c r="R207" s="5" t="inlineStr">
        <is>
          <t>아몬드와 바닐라가 포근하게 번지는 우아한 향</t>
        </is>
      </c>
      <c r="S207" s="5" t="inlineStr">
        <is>
          <t>몇 시간 뒤엔 바닐라와 샌들우드가 부드럽게 남아요</t>
        </is>
      </c>
      <c r="T207" s="5" t="inlineStr">
        <is>
          <t>아몬드의 고소함이 달콤함으로 이어지는지 맡아보세요</t>
        </is>
      </c>
      <c r="U207" s="6" t="n"/>
      <c r="V207" s="6" t="n"/>
      <c r="W207" s="6" t="n"/>
      <c r="X207" s="6" t="n"/>
      <c r="Y207" s="4" t="inlineStr">
        <is>
          <t>파르팜 드 말리 백화점</t>
        </is>
      </c>
      <c r="Z207" s="6" t="inlineStr">
        <is>
          <t>[확인 필요]</t>
        </is>
      </c>
      <c r="AA207" s="6" t="inlineStr">
        <is>
          <t>parfums-de-marly-pegasus.png</t>
        </is>
      </c>
      <c r="AB207" s="6" t="inlineStr">
        <is>
          <t>https://www.parfums-de-marly.com/products/pegasus</t>
        </is>
      </c>
      <c r="AC207" s="4" t="inlineStr">
        <is>
          <t>AI 초안 (공식 확인 전)</t>
        </is>
      </c>
      <c r="AD207" s="4" t="inlineStr">
        <is>
          <t>노트·농도 공식 확인 / 국내 정가</t>
        </is>
      </c>
      <c r="AE207" s="6" t="inlineStr">
        <is>
          <t>미확인</t>
        </is>
      </c>
    </row>
    <row r="208">
      <c r="A208" s="4" t="inlineStr">
        <is>
          <t>parfums-de-marly-sedley</t>
        </is>
      </c>
      <c r="B208" s="4" t="inlineStr">
        <is>
          <t>Parfums de Marly</t>
        </is>
      </c>
      <c r="C208" s="5" t="inlineStr">
        <is>
          <t>파르팜 드 말리</t>
        </is>
      </c>
      <c r="D208" s="4" t="inlineStr">
        <is>
          <t>Sedley</t>
        </is>
      </c>
      <c r="E208" s="5" t="inlineStr">
        <is>
          <t>세들리</t>
        </is>
      </c>
      <c r="F208" s="5" t="inlineStr">
        <is>
          <t>EDP</t>
        </is>
      </c>
      <c r="G208" s="5" t="inlineStr">
        <is>
          <t>Bergamot, Mint, Orange</t>
        </is>
      </c>
      <c r="H208" s="5" t="inlineStr">
        <is>
          <t>Geranium, Lavender, Pine Needles</t>
        </is>
      </c>
      <c r="I208" s="5" t="inlineStr">
        <is>
          <t>Sandalwood, Ambroxan, White Musk</t>
        </is>
      </c>
      <c r="J208" s="6" t="inlineStr">
        <is>
          <t>https://www.parfums-de-marly.com/products/sedley</t>
        </is>
      </c>
      <c r="K208" s="5" t="inlineStr">
        <is>
          <t>aromatic</t>
        </is>
      </c>
      <c r="L208" s="5" t="inlineStr">
        <is>
          <t>citrus</t>
        </is>
      </c>
      <c r="M208" s="5" t="inlineStr">
        <is>
          <t>fresh, cool, clean, calm</t>
        </is>
      </c>
      <c r="N208" s="5" t="n"/>
      <c r="O208" s="5" t="inlineStr">
        <is>
          <t>medium</t>
        </is>
      </c>
      <c r="P208" s="5" t="inlineStr">
        <is>
          <t>low</t>
        </is>
      </c>
      <c r="Q208" s="5" t="inlineStr">
        <is>
          <t>봄·여름 · 출근</t>
        </is>
      </c>
      <c r="R208" s="5" t="inlineStr">
        <is>
          <t>민트와 시트러스가 깔끔하게 퍼지는 향</t>
        </is>
      </c>
      <c r="S208" s="5" t="inlineStr">
        <is>
          <t>몇 시간 뒤엔 우디한 머스크가 깨끗하게 남아요</t>
        </is>
      </c>
      <c r="T208" s="5" t="inlineStr">
        <is>
          <t>민트의 서늘함과 라벤더의 결이 조화로운지 맡아보세요</t>
        </is>
      </c>
      <c r="U208" s="6" t="n"/>
      <c r="V208" s="6" t="n"/>
      <c r="W208" s="6" t="n"/>
      <c r="X208" s="6" t="n"/>
      <c r="Y208" s="4" t="inlineStr">
        <is>
          <t>파르팜 드 말리 백화점</t>
        </is>
      </c>
      <c r="Z208" s="6" t="inlineStr">
        <is>
          <t>[확인 필요]</t>
        </is>
      </c>
      <c r="AA208" s="6" t="inlineStr">
        <is>
          <t>parfums-de-marly-sedley.png</t>
        </is>
      </c>
      <c r="AB208" s="6" t="inlineStr">
        <is>
          <t>https://www.parfums-de-marly.com/products/sedley</t>
        </is>
      </c>
      <c r="AC208" s="4" t="inlineStr">
        <is>
          <t>AI 초안 (공식 확인 전)</t>
        </is>
      </c>
      <c r="AD208" s="4" t="inlineStr">
        <is>
          <t>노트·농도 공식 확인 / 국내 정가</t>
        </is>
      </c>
      <c r="AE208" s="6" t="inlineStr">
        <is>
          <t>미확인</t>
        </is>
      </c>
    </row>
    <row r="209">
      <c r="A209" s="4" t="inlineStr">
        <is>
          <t>penhaligons-halfeti</t>
        </is>
      </c>
      <c r="B209" s="4" t="inlineStr">
        <is>
          <t>Penhaligon's</t>
        </is>
      </c>
      <c r="C209" s="5" t="inlineStr">
        <is>
          <t>펜할리곤스</t>
        </is>
      </c>
      <c r="D209" s="4" t="inlineStr">
        <is>
          <t>Halfeti</t>
        </is>
      </c>
      <c r="E209" s="5" t="inlineStr">
        <is>
          <t>할페티</t>
        </is>
      </c>
      <c r="F209" s="5" t="inlineStr">
        <is>
          <t>EDP</t>
        </is>
      </c>
      <c r="G209" s="5" t="inlineStr">
        <is>
          <t>Grapefruit, Saffron</t>
        </is>
      </c>
      <c r="H209" s="5" t="inlineStr">
        <is>
          <t>Rose, Cardamom</t>
        </is>
      </c>
      <c r="I209" s="5" t="inlineStr">
        <is>
          <t>Oud, Patchouli, Amber</t>
        </is>
      </c>
      <c r="J209" s="6" t="inlineStr">
        <is>
          <t>https://www.penhaligons.com/us/en/p/halfeti-eau-de-parfum-100ml--000000000065225962</t>
        </is>
      </c>
      <c r="K209" s="5" t="inlineStr">
        <is>
          <t>amber</t>
        </is>
      </c>
      <c r="L209" s="5" t="inlineStr">
        <is>
          <t>spicy</t>
        </is>
      </c>
      <c r="M209" s="5" t="inlineStr">
        <is>
          <t>deep, sensual, warm, elegant</t>
        </is>
      </c>
      <c r="N209" s="5" t="inlineStr">
        <is>
          <t>smoky, spicy</t>
        </is>
      </c>
      <c r="O209" s="5" t="inlineStr">
        <is>
          <t>strong</t>
        </is>
      </c>
      <c r="P209" s="5" t="inlineStr">
        <is>
          <t>high</t>
        </is>
      </c>
      <c r="Q209" s="5" t="inlineStr">
        <is>
          <t>가을·겨울 · 저녁 모임</t>
        </is>
      </c>
      <c r="R209" s="5" t="inlineStr">
        <is>
          <t>자몽과 향신료 위에 장미와 우드가 깊게 깔리는 향</t>
        </is>
      </c>
      <c r="S209" s="5" t="inlineStr">
        <is>
          <t>몇 시간 뒤엔 우드와 앰버가 묵직하게 남아요</t>
        </is>
      </c>
      <c r="T209" s="5" t="inlineStr">
        <is>
          <t>자몽의 상큼함이 향신료와 우드로 넘어가는 결을 맡아보세요</t>
        </is>
      </c>
      <c r="U209" s="6" t="n"/>
      <c r="V209" s="6" t="n"/>
      <c r="W209" s="6" t="n"/>
      <c r="X209" s="6" t="n"/>
      <c r="Y209" s="4" t="inlineStr">
        <is>
          <t>펜할리곤스 백화점</t>
        </is>
      </c>
      <c r="Z209" s="6" t="inlineStr">
        <is>
          <t>백화점</t>
        </is>
      </c>
      <c r="AA209" s="6" t="n"/>
      <c r="AB209" s="6" t="n"/>
      <c r="AC209" s="4" t="inlineStr">
        <is>
          <t>AI 초안 (공식 확인 전)</t>
        </is>
      </c>
      <c r="AD209" s="4" t="inlineStr">
        <is>
          <t>노트·농도 공식 확인 / 국내 정가 / 이미지</t>
        </is>
      </c>
      <c r="AE209" s="6" t="inlineStr">
        <is>
          <t>보통 (앱에 표시)</t>
        </is>
      </c>
    </row>
    <row r="210">
      <c r="A210" s="4" t="inlineStr">
        <is>
          <t>penhaligons-luna</t>
        </is>
      </c>
      <c r="B210" s="4" t="inlineStr">
        <is>
          <t>Penhaligon's</t>
        </is>
      </c>
      <c r="C210" s="5" t="inlineStr">
        <is>
          <t>펜할리곤스</t>
        </is>
      </c>
      <c r="D210" s="4" t="inlineStr">
        <is>
          <t>Luna</t>
        </is>
      </c>
      <c r="E210" s="5" t="inlineStr">
        <is>
          <t>루나</t>
        </is>
      </c>
      <c r="F210" s="5" t="inlineStr">
        <is>
          <t>EDT</t>
        </is>
      </c>
      <c r="G210" s="5" t="inlineStr">
        <is>
          <t>Bergamot, Lemon</t>
        </is>
      </c>
      <c r="H210" s="5" t="inlineStr">
        <is>
          <t>Rose, Geranium</t>
        </is>
      </c>
      <c r="I210" s="5" t="inlineStr">
        <is>
          <t>Fir Resin, White Musk</t>
        </is>
      </c>
      <c r="J210" s="6" t="inlineStr">
        <is>
          <t>https://www.penhaligons.com/us/en/c/collections--60000/luna--60106</t>
        </is>
      </c>
      <c r="K210" s="5" t="inlineStr">
        <is>
          <t>aromatic</t>
        </is>
      </c>
      <c r="L210" s="5" t="inlineStr">
        <is>
          <t>woody</t>
        </is>
      </c>
      <c r="M210" s="5" t="inlineStr">
        <is>
          <t>fresh, calm, clean, cool</t>
        </is>
      </c>
      <c r="N210" s="5" t="n"/>
      <c r="O210" s="5" t="inlineStr">
        <is>
          <t>medium</t>
        </is>
      </c>
      <c r="P210" s="5" t="inlineStr">
        <is>
          <t>low</t>
        </is>
      </c>
      <c r="Q210" s="5" t="inlineStr">
        <is>
          <t>사계절 · 출근</t>
        </is>
      </c>
      <c r="R210" s="5" t="inlineStr">
        <is>
          <t>시트러스와 침엽수 숲 향이 맑게 이어지는 향</t>
        </is>
      </c>
      <c r="S210" s="5" t="inlineStr">
        <is>
          <t>몇 시간 뒤엔 은은한 수지 향과 머스크가 남아요</t>
        </is>
      </c>
      <c r="T210" s="5" t="inlineStr">
        <is>
          <t>장미 향이 침엽수의 서늘함과 어떻게 만나는지 맡아보세요</t>
        </is>
      </c>
      <c r="U210" s="6" t="n"/>
      <c r="V210" s="6" t="n"/>
      <c r="W210" s="6" t="n"/>
      <c r="X210" s="6" t="n"/>
      <c r="Y210" s="4" t="inlineStr">
        <is>
          <t>펜할리곤스 백화점</t>
        </is>
      </c>
      <c r="Z210" s="6" t="inlineStr">
        <is>
          <t>백화점</t>
        </is>
      </c>
      <c r="AA210" s="6" t="n"/>
      <c r="AB210" s="6" t="n"/>
      <c r="AC210" s="4" t="inlineStr">
        <is>
          <t>AI 초안 (공식 확인 전)</t>
        </is>
      </c>
      <c r="AD210" s="4" t="inlineStr">
        <is>
          <t>노트·농도 공식 확인 / 국내 정가 / 이미지</t>
        </is>
      </c>
      <c r="AE210" s="6" t="inlineStr">
        <is>
          <t>보통 (앱에 표시)</t>
        </is>
      </c>
    </row>
    <row r="211">
      <c r="A211" s="4" t="inlineStr">
        <is>
          <t>nishane-ani</t>
        </is>
      </c>
      <c r="B211" s="4" t="inlineStr">
        <is>
          <t>Nishane</t>
        </is>
      </c>
      <c r="C211" s="5" t="inlineStr">
        <is>
          <t>니샤네</t>
        </is>
      </c>
      <c r="D211" s="4" t="inlineStr">
        <is>
          <t>Ani</t>
        </is>
      </c>
      <c r="E211" s="5" t="inlineStr">
        <is>
          <t>아니</t>
        </is>
      </c>
      <c r="F211" s="5" t="inlineStr">
        <is>
          <t>Parfum</t>
        </is>
      </c>
      <c r="G211" s="5" t="inlineStr">
        <is>
          <t>Bergamot, Ginger, Pink Pepper</t>
        </is>
      </c>
      <c r="H211" s="5" t="inlineStr">
        <is>
          <t>Blackcurrant, Rose, Cardamom</t>
        </is>
      </c>
      <c r="I211" s="5" t="inlineStr">
        <is>
          <t>Patchouli, Vanilla, Benzoin, Cedar</t>
        </is>
      </c>
      <c r="J211" s="6" t="inlineStr">
        <is>
          <t>https://www.nishane.com/products/ani</t>
        </is>
      </c>
      <c r="K211" s="5" t="inlineStr">
        <is>
          <t>amber</t>
        </is>
      </c>
      <c r="L211" s="5" t="inlineStr">
        <is>
          <t>gourmand</t>
        </is>
      </c>
      <c r="M211" s="5" t="inlineStr">
        <is>
          <t>warm, sweet, sensual, cozy, deep</t>
        </is>
      </c>
      <c r="N211" s="5" t="inlineStr">
        <is>
          <t>tooSweet</t>
        </is>
      </c>
      <c r="O211" s="5" t="inlineStr">
        <is>
          <t>strong</t>
        </is>
      </c>
      <c r="P211" s="5" t="inlineStr">
        <is>
          <t>high</t>
        </is>
      </c>
      <c r="Q211" s="5" t="inlineStr">
        <is>
          <t>가을·겨울 · 저녁 모임</t>
        </is>
      </c>
      <c r="R211" s="5" t="inlineStr">
        <is>
          <t>향신료와 바닐라가 진하게 감기는 따뜻한 향</t>
        </is>
      </c>
      <c r="S211" s="5" t="inlineStr">
        <is>
          <t>몇 시간 뒤엔 바닐라와 벤조인이 깊게 남아요</t>
        </is>
      </c>
      <c r="T211" s="5" t="inlineStr">
        <is>
          <t>생강과 후추 뒤로 바닐라가 얼마나 달게 느껴지는지 맡아보세요</t>
        </is>
      </c>
      <c r="U211" s="6" t="n"/>
      <c r="V211" s="6" t="n"/>
      <c r="W211" s="6" t="n"/>
      <c r="X211" s="6" t="n"/>
      <c r="Y211" s="4" t="inlineStr">
        <is>
          <t>니샤네 백화점</t>
        </is>
      </c>
      <c r="Z211" s="6" t="inlineStr">
        <is>
          <t>[확인 필요]</t>
        </is>
      </c>
      <c r="AA211" s="6" t="inlineStr">
        <is>
          <t>nishane-ani.jpg</t>
        </is>
      </c>
      <c r="AB211" s="6" t="inlineStr">
        <is>
          <t>https://www.nishane.com/products/ani</t>
        </is>
      </c>
      <c r="AC211" s="4" t="inlineStr">
        <is>
          <t>AI 초안 (공식 확인 전)</t>
        </is>
      </c>
      <c r="AD211" s="4" t="inlineStr">
        <is>
          <t>노트·농도 공식 확인 / 국내 정가</t>
        </is>
      </c>
      <c r="AE211" s="6" t="inlineStr">
        <is>
          <t>미확인</t>
        </is>
      </c>
    </row>
    <row r="212">
      <c r="A212" s="4" t="inlineStr">
        <is>
          <t>frederic-malle-dans-tes-bras</t>
        </is>
      </c>
      <c r="B212" s="4" t="inlineStr">
        <is>
          <t>Frédéric Malle</t>
        </is>
      </c>
      <c r="C212" s="5" t="inlineStr">
        <is>
          <t>프레데릭 말</t>
        </is>
      </c>
      <c r="D212" s="4" t="inlineStr">
        <is>
          <t>Dans Tes Bras</t>
        </is>
      </c>
      <c r="E212" s="5" t="inlineStr">
        <is>
          <t>당 떼 브라</t>
        </is>
      </c>
      <c r="F212" s="5" t="inlineStr">
        <is>
          <t>EDP</t>
        </is>
      </c>
      <c r="G212" s="5" t="inlineStr">
        <is>
          <t>Violet, Pink Pepper</t>
        </is>
      </c>
      <c r="H212" s="5" t="inlineStr">
        <is>
          <t>Iso E Super, Cashmeran</t>
        </is>
      </c>
      <c r="I212" s="5" t="inlineStr">
        <is>
          <t>Musk, Ambrette</t>
        </is>
      </c>
      <c r="J212" s="6" t="n"/>
      <c r="K212" s="5" t="inlineStr">
        <is>
          <t>musk</t>
        </is>
      </c>
      <c r="L212" s="5" t="inlineStr">
        <is>
          <t>woody</t>
        </is>
      </c>
      <c r="M212" s="5" t="inlineStr">
        <is>
          <t>soft, cozy, calm, warm</t>
        </is>
      </c>
      <c r="N212" s="5" t="n"/>
      <c r="O212" s="5" t="inlineStr">
        <is>
          <t>medium</t>
        </is>
      </c>
      <c r="P212" s="5" t="inlineStr">
        <is>
          <t>high</t>
        </is>
      </c>
      <c r="Q212" s="5" t="inlineStr">
        <is>
          <t>가을·겨울 · 휴식</t>
        </is>
      </c>
      <c r="R212" s="5" t="inlineStr">
        <is>
          <t>살결에 닿는 따뜻한 머스크 같은 포근한 향</t>
        </is>
      </c>
      <c r="S212" s="5" t="inlineStr">
        <is>
          <t>몇 시간 뒤엔 부드러운 머스크가 피부 가까이 남아요</t>
        </is>
      </c>
      <c r="T212" s="5" t="inlineStr">
        <is>
          <t>머스크가 체취처럼 은근하게 느껴지는지 맡아보세요</t>
        </is>
      </c>
      <c r="U212" s="6" t="n"/>
      <c r="V212" s="6" t="n"/>
      <c r="W212" s="6" t="n"/>
      <c r="X212" s="6" t="n"/>
      <c r="Y212" s="4" t="inlineStr">
        <is>
          <t>프레데릭 말 백화점</t>
        </is>
      </c>
      <c r="Z212" s="6" t="inlineStr">
        <is>
          <t>면세점</t>
        </is>
      </c>
      <c r="AA212" s="6" t="n"/>
      <c r="AB212" s="6" t="n"/>
      <c r="AC212" s="4" t="inlineStr">
        <is>
          <t>AI 초안 (공식 확인 전)</t>
        </is>
      </c>
      <c r="AD212" s="4" t="inlineStr">
        <is>
          <t>노트·농도 공식 확인 / 국내 정가 / 이미지</t>
        </is>
      </c>
      <c r="AE212" s="6" t="inlineStr">
        <is>
          <t>낮음 (앱에 표시 안 함)</t>
        </is>
      </c>
    </row>
    <row r="213">
      <c r="A213" s="4" t="inlineStr">
        <is>
          <t>frederic-malle-cologne-indelebile</t>
        </is>
      </c>
      <c r="B213" s="4" t="inlineStr">
        <is>
          <t>Frédéric Malle</t>
        </is>
      </c>
      <c r="C213" s="5" t="inlineStr">
        <is>
          <t>프레데릭 말</t>
        </is>
      </c>
      <c r="D213" s="4" t="inlineStr">
        <is>
          <t>Cologne Indélébile</t>
        </is>
      </c>
      <c r="E213" s="5" t="inlineStr">
        <is>
          <t>코롱 앵델레빌</t>
        </is>
      </c>
      <c r="F213" s="5" t="n"/>
      <c r="G213" s="5" t="inlineStr">
        <is>
          <t>Bergamot, Mandarin</t>
        </is>
      </c>
      <c r="H213" s="5" t="inlineStr">
        <is>
          <t>Orange Blossom, Jasmine</t>
        </is>
      </c>
      <c r="I213" s="5" t="inlineStr">
        <is>
          <t>White Musk, Cetalox</t>
        </is>
      </c>
      <c r="J213" s="6" t="n"/>
      <c r="K213" s="5" t="inlineStr">
        <is>
          <t>musk</t>
        </is>
      </c>
      <c r="L213" s="5" t="inlineStr">
        <is>
          <t>citrus</t>
        </is>
      </c>
      <c r="M213" s="5" t="inlineStr">
        <is>
          <t>clean, fresh, soft, calm</t>
        </is>
      </c>
      <c r="N213" s="5" t="n"/>
      <c r="O213" s="5" t="inlineStr">
        <is>
          <t>medium</t>
        </is>
      </c>
      <c r="P213" s="5" t="inlineStr">
        <is>
          <t>low</t>
        </is>
      </c>
      <c r="Q213" s="5" t="inlineStr">
        <is>
          <t>사계절 · 데일리</t>
        </is>
      </c>
      <c r="R213" s="5" t="inlineStr">
        <is>
          <t>시트러스 코롱에 머스크가 오래 번지는 깨끗한 향</t>
        </is>
      </c>
      <c r="S213" s="5" t="inlineStr">
        <is>
          <t>몇 시간 뒤엔 깨끗한 머스크가 은은하게 남아요</t>
        </is>
      </c>
      <c r="T213" s="5" t="inlineStr">
        <is>
          <t>상큼한 시작이 머스크로 이어지는 변화를 맡아보세요</t>
        </is>
      </c>
      <c r="U213" s="6" t="n"/>
      <c r="V213" s="6" t="n"/>
      <c r="W213" s="6" t="n"/>
      <c r="X213" s="6" t="n"/>
      <c r="Y213" s="4" t="inlineStr">
        <is>
          <t>프레데릭 말 백화점</t>
        </is>
      </c>
      <c r="Z213" s="6" t="inlineStr">
        <is>
          <t>면세점</t>
        </is>
      </c>
      <c r="AA213" s="6" t="n"/>
      <c r="AB213" s="6" t="n"/>
      <c r="AC213" s="4" t="inlineStr">
        <is>
          <t>AI 초안 (공식 확인 전)</t>
        </is>
      </c>
      <c r="AD213" s="4" t="inlineStr">
        <is>
          <t>노트·농도 공식 확인 / 국내 정가 / 이미지</t>
        </is>
      </c>
      <c r="AE213" s="6" t="inlineStr">
        <is>
          <t>낮음 (앱에 표시 안 함)</t>
        </is>
      </c>
    </row>
  </sheetData>
  <autoFilter ref="A1:AE213"/>
  <dataValidations count="3">
    <dataValidation sqref="K2:K500" showDropDown="0" showInputMessage="0" showErrorMessage="0" allowBlank="1" type="list">
      <formula1>=options!$A$3:$A$16</formula1>
    </dataValidation>
    <dataValidation sqref="O2:O500" showDropDown="0" showInputMessage="0" showErrorMessage="0" allowBlank="1" type="list">
      <formula1>"light,medium,strong"</formula1>
    </dataValidation>
    <dataValidation sqref="P2:P500" showDropDown="0" showInputMessage="0" showErrorMessage="0" allowBlank="1" type="list">
      <formula1>"low,mid,high"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44" customWidth="1" min="3" max="3"/>
    <col width="14" customWidth="1" min="4" max="4"/>
    <col width="10" customWidth="1" min="5" max="5"/>
  </cols>
  <sheetData>
    <row r="1">
      <c r="A1" s="7" t="inlineStr">
        <is>
          <t>ingredient_en</t>
        </is>
      </c>
      <c r="B1" s="7" t="inlineStr">
        <is>
          <t>ingredient_ko</t>
        </is>
      </c>
      <c r="C1" s="7" t="inlineStr">
        <is>
          <t>feel</t>
        </is>
      </c>
      <c r="D1" s="7" t="inlineStr">
        <is>
          <t>family</t>
        </is>
      </c>
      <c r="E1" s="7" t="inlineStr">
        <is>
          <t>used_in</t>
        </is>
      </c>
    </row>
    <row r="2">
      <c r="A2" s="5" t="inlineStr">
        <is>
          <t>Aldehydes</t>
        </is>
      </c>
      <c r="B2" s="5" t="inlineStr">
        <is>
          <t>알데하이드</t>
        </is>
      </c>
      <c r="C2" s="5" t="inlineStr">
        <is>
          <t>비누처럼 깨끗하고 반짝이는 향</t>
        </is>
      </c>
      <c r="D2" s="5" t="inlineStr">
        <is>
          <t>musk</t>
        </is>
      </c>
      <c r="E2" s="8">
        <f>COUNTIF(perfumes!$G$2:$I$213,"*"&amp;A2&amp;"*")</f>
        <v/>
      </c>
    </row>
    <row r="3">
      <c r="A3" s="5" t="inlineStr">
        <is>
          <t>Amber</t>
        </is>
      </c>
      <c r="B3" s="5" t="inlineStr">
        <is>
          <t>앰버</t>
        </is>
      </c>
      <c r="C3" s="5" t="inlineStr">
        <is>
          <t>따뜻하고 달콤한 수지 향</t>
        </is>
      </c>
      <c r="D3" s="5" t="inlineStr">
        <is>
          <t>amber</t>
        </is>
      </c>
      <c r="E3" s="8">
        <f>COUNTIF(perfumes!$G$2:$I$213,"*"&amp;A3&amp;"*")</f>
        <v/>
      </c>
    </row>
    <row r="4">
      <c r="A4" s="5" t="inlineStr">
        <is>
          <t>Ambergris</t>
        </is>
      </c>
      <c r="B4" s="5" t="inlineStr">
        <is>
          <t>앰버그리스</t>
        </is>
      </c>
      <c r="C4" s="5" t="inlineStr">
        <is>
          <t>따뜻하고 짭짤한 바다 같은 부드러운 향</t>
        </is>
      </c>
      <c r="D4" s="5" t="inlineStr">
        <is>
          <t>amber</t>
        </is>
      </c>
      <c r="E4" s="8">
        <f>COUNTIF(perfumes!$G$2:$I$213,"*"&amp;A4&amp;"*")</f>
        <v/>
      </c>
    </row>
    <row r="5">
      <c r="A5" s="5" t="inlineStr">
        <is>
          <t>Amberwood</t>
        </is>
      </c>
      <c r="B5" s="5" t="inlineStr">
        <is>
          <t>앰버우드</t>
        </is>
      </c>
      <c r="C5" s="5" t="inlineStr">
        <is>
          <t>따뜻하고 달콤한 나무 향</t>
        </is>
      </c>
      <c r="D5" s="5" t="inlineStr">
        <is>
          <t>amber</t>
        </is>
      </c>
      <c r="E5" s="8">
        <f>COUNTIF(perfumes!$G$2:$I$213,"*"&amp;A5&amp;"*")</f>
        <v/>
      </c>
    </row>
    <row r="6">
      <c r="A6" s="5" t="inlineStr">
        <is>
          <t>Ambrette</t>
        </is>
      </c>
      <c r="B6" s="5" t="inlineStr">
        <is>
          <t>앰브레트</t>
        </is>
      </c>
      <c r="C6" s="5" t="inlineStr">
        <is>
          <t>따뜻한 피부와 꽃을 닮은 은은한 향</t>
        </is>
      </c>
      <c r="D6" s="5" t="inlineStr">
        <is>
          <t>musk</t>
        </is>
      </c>
      <c r="E6" s="8">
        <f>COUNTIF(perfumes!$G$2:$I$213,"*"&amp;A6&amp;"*")</f>
        <v/>
      </c>
    </row>
    <row r="7">
      <c r="A7" s="5" t="inlineStr">
        <is>
          <t>Ambroxan</t>
        </is>
      </c>
      <c r="B7" s="5" t="inlineStr">
        <is>
          <t>암브록산</t>
        </is>
      </c>
      <c r="C7" s="5" t="inlineStr">
        <is>
          <t>깨끗하고 따뜻한 피부 같은 은은한 향</t>
        </is>
      </c>
      <c r="D7" s="5" t="inlineStr">
        <is>
          <t>musk</t>
        </is>
      </c>
      <c r="E7" s="8">
        <f>COUNTIF(perfumes!$G$2:$I$213,"*"&amp;A7&amp;"*")</f>
        <v/>
      </c>
    </row>
    <row r="8">
      <c r="A8" s="5" t="inlineStr">
        <is>
          <t>Apple</t>
        </is>
      </c>
      <c r="B8" s="5" t="inlineStr">
        <is>
          <t>사과</t>
        </is>
      </c>
      <c r="C8" s="5" t="inlineStr">
        <is>
          <t>아삭하고 풋풋한 사과 향</t>
        </is>
      </c>
      <c r="D8" s="5" t="inlineStr">
        <is>
          <t>fruity</t>
        </is>
      </c>
      <c r="E8" s="8">
        <f>COUNTIF(perfumes!$G$2:$I$213,"*"&amp;A8&amp;"*")</f>
        <v/>
      </c>
    </row>
    <row r="9">
      <c r="A9" s="5" t="inlineStr">
        <is>
          <t>Bamboo</t>
        </is>
      </c>
      <c r="B9" s="5" t="inlineStr">
        <is>
          <t>대나무</t>
        </is>
      </c>
      <c r="C9" s="5" t="inlineStr">
        <is>
          <t>맑고 푸릇한 대나무 잎 향</t>
        </is>
      </c>
      <c r="D9" s="5" t="inlineStr">
        <is>
          <t>green</t>
        </is>
      </c>
      <c r="E9" s="8">
        <f>COUNTIF(perfumes!$G$2:$I$213,"*"&amp;A9&amp;"*")</f>
        <v/>
      </c>
    </row>
    <row r="10">
      <c r="A10" s="5" t="inlineStr">
        <is>
          <t>Benzoin</t>
        </is>
      </c>
      <c r="B10" s="5" t="inlineStr">
        <is>
          <t>벤조인</t>
        </is>
      </c>
      <c r="C10" s="5" t="inlineStr">
        <is>
          <t>달콤하고 따뜻한 수지 향</t>
        </is>
      </c>
      <c r="D10" s="5" t="inlineStr">
        <is>
          <t>amber</t>
        </is>
      </c>
      <c r="E10" s="8">
        <f>COUNTIF(perfumes!$G$2:$I$213,"*"&amp;A10&amp;"*")</f>
        <v/>
      </c>
    </row>
    <row r="11">
      <c r="A11" s="5" t="inlineStr">
        <is>
          <t>Bergamot</t>
        </is>
      </c>
      <c r="B11" s="5" t="inlineStr">
        <is>
          <t>베르가못</t>
        </is>
      </c>
      <c r="C11" s="5" t="inlineStr">
        <is>
          <t>상큼하고 살짝 쌉쌀한 귤 껍질 향</t>
        </is>
      </c>
      <c r="D11" s="5" t="inlineStr">
        <is>
          <t>citrus</t>
        </is>
      </c>
      <c r="E11" s="8">
        <f>COUNTIF(perfumes!$G$2:$I$213,"*"&amp;A11&amp;"*")</f>
        <v/>
      </c>
    </row>
    <row r="12">
      <c r="A12" s="5" t="inlineStr">
        <is>
          <t>Blackberry</t>
        </is>
      </c>
      <c r="B12" s="5" t="inlineStr">
        <is>
          <t>블랙베리</t>
        </is>
      </c>
      <c r="C12" s="5" t="inlineStr">
        <is>
          <t>진하고 달콤새콤한 베리 향</t>
        </is>
      </c>
      <c r="D12" s="5" t="inlineStr">
        <is>
          <t>fruity</t>
        </is>
      </c>
      <c r="E12" s="8">
        <f>COUNTIF(perfumes!$G$2:$I$213,"*"&amp;A12&amp;"*")</f>
        <v/>
      </c>
    </row>
    <row r="13">
      <c r="A13" s="5" t="inlineStr">
        <is>
          <t>Blackcurrant</t>
        </is>
      </c>
      <c r="B13" s="5" t="inlineStr">
        <is>
          <t>블랙커런트</t>
        </is>
      </c>
      <c r="C13" s="5" t="inlineStr">
        <is>
          <t>새콤하고 진한 검은 베리 향</t>
        </is>
      </c>
      <c r="D13" s="5" t="inlineStr">
        <is>
          <t>fruity</t>
        </is>
      </c>
      <c r="E13" s="8">
        <f>COUNTIF(perfumes!$G$2:$I$213,"*"&amp;A13&amp;"*")</f>
        <v/>
      </c>
    </row>
    <row r="14">
      <c r="A14" s="5" t="inlineStr">
        <is>
          <t>Cacao</t>
        </is>
      </c>
      <c r="B14" s="5" t="inlineStr">
        <is>
          <t>카카오</t>
        </is>
      </c>
      <c r="C14" s="5" t="inlineStr">
        <is>
          <t>쌉쌀하고 고소한 코코아 향</t>
        </is>
      </c>
      <c r="D14" s="5" t="inlineStr">
        <is>
          <t>gourmand</t>
        </is>
      </c>
      <c r="E14" s="8">
        <f>COUNTIF(perfumes!$G$2:$I$213,"*"&amp;A14&amp;"*")</f>
        <v/>
      </c>
    </row>
    <row r="15">
      <c r="A15" s="5" t="inlineStr">
        <is>
          <t>Caramel</t>
        </is>
      </c>
      <c r="B15" s="5" t="inlineStr">
        <is>
          <t>카라멜</t>
        </is>
      </c>
      <c r="C15" s="5" t="inlineStr">
        <is>
          <t>달콤하고 끈적한 설탕 향</t>
        </is>
      </c>
      <c r="D15" s="5" t="inlineStr">
        <is>
          <t>gourmand</t>
        </is>
      </c>
      <c r="E15" s="8">
        <f>COUNTIF(perfumes!$G$2:$I$213,"*"&amp;A15&amp;"*")</f>
        <v/>
      </c>
    </row>
    <row r="16">
      <c r="A16" s="5" t="inlineStr">
        <is>
          <t>Cardamom</t>
        </is>
      </c>
      <c r="B16" s="5" t="inlineStr">
        <is>
          <t>카다멈</t>
        </is>
      </c>
      <c r="C16" s="5" t="inlineStr">
        <is>
          <t>따뜻하고 상쾌한 향신료 향</t>
        </is>
      </c>
      <c r="D16" s="5" t="inlineStr">
        <is>
          <t>spicy</t>
        </is>
      </c>
      <c r="E16" s="8">
        <f>COUNTIF(perfumes!$G$2:$I$213,"*"&amp;A16&amp;"*")</f>
        <v/>
      </c>
    </row>
    <row r="17">
      <c r="A17" s="5" t="inlineStr">
        <is>
          <t>Cashmeran</t>
        </is>
      </c>
      <c r="B17" s="5" t="inlineStr">
        <is>
          <t>캐시머란</t>
        </is>
      </c>
      <c r="C17" s="5" t="inlineStr">
        <is>
          <t>포근하고 약간 스모키한 나무 향</t>
        </is>
      </c>
      <c r="D17" s="5" t="inlineStr">
        <is>
          <t>woody</t>
        </is>
      </c>
      <c r="E17" s="8">
        <f>COUNTIF(perfumes!$G$2:$I$213,"*"&amp;A17&amp;"*")</f>
        <v/>
      </c>
    </row>
    <row r="18">
      <c r="A18" s="5" t="inlineStr">
        <is>
          <t>Cedar</t>
        </is>
      </c>
      <c r="B18" s="5" t="inlineStr">
        <is>
          <t>시더</t>
        </is>
      </c>
      <c r="C18" s="5" t="inlineStr">
        <is>
          <t>연필을 깎을 때 나는 깔끔한 나무 향</t>
        </is>
      </c>
      <c r="D18" s="5" t="inlineStr">
        <is>
          <t>woody</t>
        </is>
      </c>
      <c r="E18" s="8">
        <f>COUNTIF(perfumes!$G$2:$I$213,"*"&amp;A18&amp;"*")</f>
        <v/>
      </c>
    </row>
    <row r="19">
      <c r="A19" s="5" t="inlineStr">
        <is>
          <t>Chestnut</t>
        </is>
      </c>
      <c r="B19" s="5" t="inlineStr">
        <is>
          <t>밤</t>
        </is>
      </c>
      <c r="C19" s="5" t="inlineStr">
        <is>
          <t>고소하고 따뜻한 군밤 향</t>
        </is>
      </c>
      <c r="D19" s="5" t="inlineStr">
        <is>
          <t>gourmand</t>
        </is>
      </c>
      <c r="E19" s="8">
        <f>COUNTIF(perfumes!$G$2:$I$213,"*"&amp;A19&amp;"*")</f>
        <v/>
      </c>
    </row>
    <row r="20">
      <c r="A20" s="5" t="inlineStr">
        <is>
          <t>Chocolate</t>
        </is>
      </c>
      <c r="B20" s="5" t="inlineStr">
        <is>
          <t>초콜릿</t>
        </is>
      </c>
      <c r="C20" s="5" t="inlineStr">
        <is>
          <t>진하고 달콤한 쌉쌀한 초콜릿 향</t>
        </is>
      </c>
      <c r="D20" s="5" t="inlineStr">
        <is>
          <t>gourmand</t>
        </is>
      </c>
      <c r="E20" s="8">
        <f>COUNTIF(perfumes!$G$2:$I$213,"*"&amp;A20&amp;"*")</f>
        <v/>
      </c>
    </row>
    <row r="21">
      <c r="A21" s="5" t="inlineStr">
        <is>
          <t>Cinnamon</t>
        </is>
      </c>
      <c r="B21" s="5" t="inlineStr">
        <is>
          <t>시나몬</t>
        </is>
      </c>
      <c r="C21" s="5" t="inlineStr">
        <is>
          <t>달콤하고 따뜻한 계피 향</t>
        </is>
      </c>
      <c r="D21" s="5" t="inlineStr">
        <is>
          <t>spicy</t>
        </is>
      </c>
      <c r="E21" s="8">
        <f>COUNTIF(perfumes!$G$2:$I$213,"*"&amp;A21&amp;"*")</f>
        <v/>
      </c>
    </row>
    <row r="22">
      <c r="A22" s="5" t="inlineStr">
        <is>
          <t>Clary Sage</t>
        </is>
      </c>
      <c r="B22" s="5" t="inlineStr">
        <is>
          <t>클라리 세이지</t>
        </is>
      </c>
      <c r="C22" s="5" t="inlineStr">
        <is>
          <t>따뜻하고 달큰한 허브 향</t>
        </is>
      </c>
      <c r="D22" s="5" t="inlineStr">
        <is>
          <t>aromatic</t>
        </is>
      </c>
      <c r="E22" s="8">
        <f>COUNTIF(perfumes!$G$2:$I$213,"*"&amp;A22&amp;"*")</f>
        <v/>
      </c>
    </row>
    <row r="23">
      <c r="A23" s="5" t="inlineStr">
        <is>
          <t>Clove</t>
        </is>
      </c>
      <c r="B23" s="5" t="inlineStr">
        <is>
          <t>정향</t>
        </is>
      </c>
      <c r="C23" s="5" t="inlineStr">
        <is>
          <t>따뜻하고 알싸한 향신료 향</t>
        </is>
      </c>
      <c r="D23" s="5" t="inlineStr">
        <is>
          <t>spicy</t>
        </is>
      </c>
      <c r="E23" s="8">
        <f>COUNTIF(perfumes!$G$2:$I$213,"*"&amp;A23&amp;"*")</f>
        <v/>
      </c>
    </row>
    <row r="24">
      <c r="A24" s="5" t="inlineStr">
        <is>
          <t>Coconut</t>
        </is>
      </c>
      <c r="B24" s="5" t="inlineStr">
        <is>
          <t>코코넛</t>
        </is>
      </c>
      <c r="C24" s="5" t="inlineStr">
        <is>
          <t>고소하고 부드러운 코코넛 향</t>
        </is>
      </c>
      <c r="D24" s="5" t="inlineStr">
        <is>
          <t>gourmand</t>
        </is>
      </c>
      <c r="E24" s="8">
        <f>COUNTIF(perfumes!$G$2:$I$213,"*"&amp;A24&amp;"*")</f>
        <v/>
      </c>
    </row>
    <row r="25">
      <c r="A25" s="5" t="inlineStr">
        <is>
          <t>Coconut Milk</t>
        </is>
      </c>
      <c r="B25" s="5" t="inlineStr">
        <is>
          <t>코코넛 밀크</t>
        </is>
      </c>
      <c r="C25" s="5" t="inlineStr">
        <is>
          <t>고소하고 크리미한 코코넛 향</t>
        </is>
      </c>
      <c r="D25" s="5" t="inlineStr">
        <is>
          <t>gourmand</t>
        </is>
      </c>
      <c r="E25" s="8">
        <f>COUNTIF(perfumes!$G$2:$I$213,"*"&amp;A25&amp;"*")</f>
        <v/>
      </c>
    </row>
    <row r="26">
      <c r="A26" s="5" t="inlineStr">
        <is>
          <t>Coffee</t>
        </is>
      </c>
      <c r="B26" s="5" t="inlineStr">
        <is>
          <t>커피</t>
        </is>
      </c>
      <c r="C26" s="5" t="inlineStr">
        <is>
          <t>고소하고 쌉쌀한 커피콩 향</t>
        </is>
      </c>
      <c r="D26" s="5" t="inlineStr">
        <is>
          <t>gourmand</t>
        </is>
      </c>
      <c r="E26" s="8">
        <f>COUNTIF(perfumes!$G$2:$I$213,"*"&amp;A26&amp;"*")</f>
        <v/>
      </c>
    </row>
    <row r="27">
      <c r="A27" s="5" t="inlineStr">
        <is>
          <t>Cognac</t>
        </is>
      </c>
      <c r="B27" s="5" t="inlineStr">
        <is>
          <t>코냑</t>
        </is>
      </c>
      <c r="C27" s="5" t="inlineStr">
        <is>
          <t>달콤하고 알싸한 고급 술 향</t>
        </is>
      </c>
      <c r="D27" s="5" t="inlineStr">
        <is>
          <t>gourmand</t>
        </is>
      </c>
      <c r="E27" s="8">
        <f>COUNTIF(perfumes!$G$2:$I$213,"*"&amp;A27&amp;"*")</f>
        <v/>
      </c>
    </row>
    <row r="28">
      <c r="A28" s="5" t="inlineStr">
        <is>
          <t>Coriander</t>
        </is>
      </c>
      <c r="B28" s="5" t="inlineStr">
        <is>
          <t>고수씨</t>
        </is>
      </c>
      <c r="C28" s="5" t="inlineStr">
        <is>
          <t>상큼하고 살짝 매콤한 씨앗 향</t>
        </is>
      </c>
      <c r="D28" s="5" t="inlineStr">
        <is>
          <t>spicy</t>
        </is>
      </c>
      <c r="E28" s="8">
        <f>COUNTIF(perfumes!$G$2:$I$213,"*"&amp;A28&amp;"*")</f>
        <v/>
      </c>
    </row>
    <row r="29">
      <c r="A29" s="5" t="inlineStr">
        <is>
          <t>Cypress</t>
        </is>
      </c>
      <c r="B29" s="5" t="inlineStr">
        <is>
          <t>사이프러스</t>
        </is>
      </c>
      <c r="C29" s="5" t="inlineStr">
        <is>
          <t>차갑고 맑은 침엽수 향</t>
        </is>
      </c>
      <c r="D29" s="5" t="inlineStr">
        <is>
          <t>woody</t>
        </is>
      </c>
      <c r="E29" s="8">
        <f>COUNTIF(perfumes!$G$2:$I$213,"*"&amp;A29&amp;"*")</f>
        <v/>
      </c>
    </row>
    <row r="30">
      <c r="A30" s="5" t="inlineStr">
        <is>
          <t>Damask Rose</t>
        </is>
      </c>
      <c r="B30" s="5" t="inlineStr">
        <is>
          <t>다마스크 로즈</t>
        </is>
      </c>
      <c r="C30" s="5" t="inlineStr">
        <is>
          <t>진하고 우아한 장미 향</t>
        </is>
      </c>
      <c r="D30" s="5" t="inlineStr">
        <is>
          <t>floral</t>
        </is>
      </c>
      <c r="E30" s="8">
        <f>COUNTIF(perfumes!$G$2:$I$213,"*"&amp;A30&amp;"*")</f>
        <v/>
      </c>
    </row>
    <row r="31">
      <c r="A31" s="5" t="inlineStr">
        <is>
          <t>Dried Fruits</t>
        </is>
      </c>
      <c r="B31" s="5" t="inlineStr">
        <is>
          <t>말린 과일</t>
        </is>
      </c>
      <c r="C31" s="5" t="inlineStr">
        <is>
          <t>달콤하고 쫀득한 건과일 향</t>
        </is>
      </c>
      <c r="D31" s="5" t="inlineStr">
        <is>
          <t>gourmand</t>
        </is>
      </c>
      <c r="E31" s="8">
        <f>COUNTIF(perfumes!$G$2:$I$213,"*"&amp;A31&amp;"*")</f>
        <v/>
      </c>
    </row>
    <row r="32">
      <c r="A32" s="5" t="inlineStr">
        <is>
          <t>Fig</t>
        </is>
      </c>
      <c r="B32" s="5" t="inlineStr">
        <is>
          <t>무화과</t>
        </is>
      </c>
      <c r="C32" s="5" t="inlineStr">
        <is>
          <t>달콤하면서 풋풋한 열매 향</t>
        </is>
      </c>
      <c r="D32" s="5" t="inlineStr">
        <is>
          <t>green</t>
        </is>
      </c>
      <c r="E32" s="8">
        <f>COUNTIF(perfumes!$G$2:$I$213,"*"&amp;A32&amp;"*")</f>
        <v/>
      </c>
    </row>
    <row r="33">
      <c r="A33" s="5" t="inlineStr">
        <is>
          <t>Fig Leaf</t>
        </is>
      </c>
      <c r="B33" s="5" t="inlineStr">
        <is>
          <t>무화과잎</t>
        </is>
      </c>
      <c r="C33" s="5" t="inlineStr">
        <is>
          <t>푸릇하고 약간 우유 같은 풀 향</t>
        </is>
      </c>
      <c r="D33" s="5" t="inlineStr">
        <is>
          <t>green</t>
        </is>
      </c>
      <c r="E33" s="8">
        <f>COUNTIF(perfumes!$G$2:$I$213,"*"&amp;A33&amp;"*")</f>
        <v/>
      </c>
    </row>
    <row r="34">
      <c r="A34" s="5" t="inlineStr">
        <is>
          <t>Fir Resin</t>
        </is>
      </c>
      <c r="B34" s="5" t="inlineStr">
        <is>
          <t>전나무 수지</t>
        </is>
      </c>
      <c r="C34" s="5" t="inlineStr">
        <is>
          <t>끈적하고 상쾌한 소나무 진 향</t>
        </is>
      </c>
      <c r="D34" s="5" t="inlineStr">
        <is>
          <t>amber</t>
        </is>
      </c>
      <c r="E34" s="8">
        <f>COUNTIF(perfumes!$G$2:$I$213,"*"&amp;A34&amp;"*")</f>
        <v/>
      </c>
    </row>
    <row r="35">
      <c r="A35" s="5" t="inlineStr">
        <is>
          <t>Flint</t>
        </is>
      </c>
      <c r="B35" s="5" t="inlineStr">
        <is>
          <t>부싯돌</t>
        </is>
      </c>
      <c r="C35" s="5" t="inlineStr">
        <is>
          <t>돌을 부딪칠 때 나는 차갑고 건조한 광물 향</t>
        </is>
      </c>
      <c r="D35" s="5" t="inlineStr">
        <is>
          <t>aqua</t>
        </is>
      </c>
      <c r="E35" s="8">
        <f>COUNTIF(perfumes!$G$2:$I$213,"*"&amp;A35&amp;"*")</f>
        <v/>
      </c>
    </row>
    <row r="36">
      <c r="A36" s="5" t="inlineStr">
        <is>
          <t>Freesia</t>
        </is>
      </c>
      <c r="B36" s="5" t="inlineStr">
        <is>
          <t>프리지아</t>
        </is>
      </c>
      <c r="C36" s="5" t="inlineStr">
        <is>
          <t>가볍고 싱그러운 봄꽃 향</t>
        </is>
      </c>
      <c r="D36" s="5" t="inlineStr">
        <is>
          <t>floral</t>
        </is>
      </c>
      <c r="E36" s="8">
        <f>COUNTIF(perfumes!$G$2:$I$213,"*"&amp;A36&amp;"*")</f>
        <v/>
      </c>
    </row>
    <row r="37">
      <c r="A37" s="5" t="inlineStr">
        <is>
          <t>Galbanum</t>
        </is>
      </c>
      <c r="B37" s="5" t="inlineStr">
        <is>
          <t>갈바넘</t>
        </is>
      </c>
      <c r="C37" s="5" t="inlineStr">
        <is>
          <t>쌉쌀하고 날카로운 풀즙 향</t>
        </is>
      </c>
      <c r="D37" s="5" t="inlineStr">
        <is>
          <t>green</t>
        </is>
      </c>
      <c r="E37" s="8">
        <f>COUNTIF(perfumes!$G$2:$I$213,"*"&amp;A37&amp;"*")</f>
        <v/>
      </c>
    </row>
    <row r="38">
      <c r="A38" s="5" t="inlineStr">
        <is>
          <t>Geranium</t>
        </is>
      </c>
      <c r="B38" s="5" t="inlineStr">
        <is>
          <t>제라늄</t>
        </is>
      </c>
      <c r="C38" s="5" t="inlineStr">
        <is>
          <t>싱그럽고 살짝 매콤한 잎·꽃 향</t>
        </is>
      </c>
      <c r="D38" s="5" t="inlineStr">
        <is>
          <t>aromatic</t>
        </is>
      </c>
      <c r="E38" s="8">
        <f>COUNTIF(perfumes!$G$2:$I$213,"*"&amp;A38&amp;"*")</f>
        <v/>
      </c>
    </row>
    <row r="39">
      <c r="A39" s="5" t="inlineStr">
        <is>
          <t>Ginger</t>
        </is>
      </c>
      <c r="B39" s="5" t="inlineStr">
        <is>
          <t>생강</t>
        </is>
      </c>
      <c r="C39" s="5" t="inlineStr">
        <is>
          <t>톡 쏘면서 따뜻한 생강 향</t>
        </is>
      </c>
      <c r="D39" s="5" t="inlineStr">
        <is>
          <t>spicy</t>
        </is>
      </c>
      <c r="E39" s="8">
        <f>COUNTIF(perfumes!$G$2:$I$213,"*"&amp;A39&amp;"*")</f>
        <v/>
      </c>
    </row>
    <row r="40">
      <c r="A40" s="5" t="inlineStr">
        <is>
          <t>Grapefruit</t>
        </is>
      </c>
      <c r="B40" s="5" t="inlineStr">
        <is>
          <t>자몽</t>
        </is>
      </c>
      <c r="C40" s="5" t="inlineStr">
        <is>
          <t>새콤쌉쌀하고 시원한 자몽 향</t>
        </is>
      </c>
      <c r="D40" s="5" t="inlineStr">
        <is>
          <t>citrus</t>
        </is>
      </c>
      <c r="E40" s="8">
        <f>COUNTIF(perfumes!$G$2:$I$213,"*"&amp;A40&amp;"*")</f>
        <v/>
      </c>
    </row>
    <row r="41">
      <c r="A41" s="5" t="inlineStr">
        <is>
          <t>Green Mango</t>
        </is>
      </c>
      <c r="B41" s="5" t="inlineStr">
        <is>
          <t>청망고</t>
        </is>
      </c>
      <c r="C41" s="5" t="inlineStr">
        <is>
          <t>새콤하고 풋풋한 덜 익은 과일 향</t>
        </is>
      </c>
      <c r="D41" s="5" t="inlineStr">
        <is>
          <t>green</t>
        </is>
      </c>
      <c r="E41" s="8">
        <f>COUNTIF(perfumes!$G$2:$I$213,"*"&amp;A41&amp;"*")</f>
        <v/>
      </c>
    </row>
    <row r="42">
      <c r="A42" s="5" t="inlineStr">
        <is>
          <t>Green Tea</t>
        </is>
      </c>
      <c r="B42" s="5" t="inlineStr">
        <is>
          <t>녹차</t>
        </is>
      </c>
      <c r="C42" s="5" t="inlineStr">
        <is>
          <t>깔끔하고 은은한 찻잎 향</t>
        </is>
      </c>
      <c r="D42" s="5" t="inlineStr">
        <is>
          <t>green</t>
        </is>
      </c>
      <c r="E42" s="8">
        <f>COUNTIF(perfumes!$G$2:$I$213,"*"&amp;A42&amp;"*")</f>
        <v/>
      </c>
    </row>
    <row r="43">
      <c r="A43" s="5" t="inlineStr">
        <is>
          <t>Guaiac Wood</t>
        </is>
      </c>
      <c r="B43" s="5" t="inlineStr">
        <is>
          <t>과이악 우드</t>
        </is>
      </c>
      <c r="C43" s="5" t="inlineStr">
        <is>
          <t>훈제한 듯 스모키한 나무 향</t>
        </is>
      </c>
      <c r="D43" s="5" t="inlineStr">
        <is>
          <t>woody</t>
        </is>
      </c>
      <c r="E43" s="8">
        <f>COUNTIF(perfumes!$G$2:$I$213,"*"&amp;A43&amp;"*")</f>
        <v/>
      </c>
    </row>
    <row r="44">
      <c r="A44" s="5" t="inlineStr">
        <is>
          <t>Heliotrope</t>
        </is>
      </c>
      <c r="B44" s="5" t="inlineStr">
        <is>
          <t>헬리오트로프</t>
        </is>
      </c>
      <c r="C44" s="5" t="inlineStr">
        <is>
          <t>달콤한 아몬드 파우더 같은 향</t>
        </is>
      </c>
      <c r="D44" s="5" t="inlineStr">
        <is>
          <t>powdery</t>
        </is>
      </c>
      <c r="E44" s="8">
        <f>COUNTIF(perfumes!$G$2:$I$213,"*"&amp;A44&amp;"*")</f>
        <v/>
      </c>
    </row>
    <row r="45">
      <c r="A45" s="5" t="inlineStr">
        <is>
          <t>Honey</t>
        </is>
      </c>
      <c r="B45" s="5" t="inlineStr">
        <is>
          <t>꿀</t>
        </is>
      </c>
      <c r="C45" s="5" t="inlineStr">
        <is>
          <t>끈적하고 달콤한 벌꿀 향</t>
        </is>
      </c>
      <c r="D45" s="5" t="inlineStr">
        <is>
          <t>gourmand</t>
        </is>
      </c>
      <c r="E45" s="8">
        <f>COUNTIF(perfumes!$G$2:$I$213,"*"&amp;A45&amp;"*")</f>
        <v/>
      </c>
    </row>
    <row r="46">
      <c r="A46" s="5" t="inlineStr">
        <is>
          <t>Incense</t>
        </is>
      </c>
      <c r="B46" s="5" t="inlineStr">
        <is>
          <t>인센스</t>
        </is>
      </c>
      <c r="C46" s="5" t="inlineStr">
        <is>
          <t>사원에서 피우는 향처럼 은은한 연기 향</t>
        </is>
      </c>
      <c r="D46" s="5" t="inlineStr">
        <is>
          <t>leather</t>
        </is>
      </c>
      <c r="E46" s="8">
        <f>COUNTIF(perfumes!$G$2:$I$213,"*"&amp;A46&amp;"*")</f>
        <v/>
      </c>
    </row>
    <row r="47">
      <c r="A47" s="5" t="inlineStr">
        <is>
          <t>Iris</t>
        </is>
      </c>
      <c r="B47" s="5" t="inlineStr">
        <is>
          <t>아이리스</t>
        </is>
      </c>
      <c r="C47" s="5" t="inlineStr">
        <is>
          <t>보송한 분가루 같은 차분한 향</t>
        </is>
      </c>
      <c r="D47" s="5" t="inlineStr">
        <is>
          <t>powdery</t>
        </is>
      </c>
      <c r="E47" s="8">
        <f>COUNTIF(perfumes!$G$2:$I$213,"*"&amp;A47&amp;"*")</f>
        <v/>
      </c>
    </row>
    <row r="48">
      <c r="A48" s="5" t="inlineStr">
        <is>
          <t>Jasmine</t>
        </is>
      </c>
      <c r="B48" s="5" t="inlineStr">
        <is>
          <t>자스민</t>
        </is>
      </c>
      <c r="C48" s="5" t="inlineStr">
        <is>
          <t>달콤하고 진한 하얀 꽃 향</t>
        </is>
      </c>
      <c r="D48" s="5" t="inlineStr">
        <is>
          <t>whiteFloral</t>
        </is>
      </c>
      <c r="E48" s="8">
        <f>COUNTIF(perfumes!$G$2:$I$213,"*"&amp;A48&amp;"*")</f>
        <v/>
      </c>
    </row>
    <row r="49">
      <c r="A49" s="5" t="inlineStr">
        <is>
          <t>Juniper Berries</t>
        </is>
      </c>
      <c r="B49" s="5" t="inlineStr">
        <is>
          <t>주니퍼 베리</t>
        </is>
      </c>
      <c r="C49" s="5" t="inlineStr">
        <is>
          <t>상쾌하고 알싸한 진(gin) 같은 향</t>
        </is>
      </c>
      <c r="D49" s="5" t="inlineStr">
        <is>
          <t>aromatic</t>
        </is>
      </c>
      <c r="E49" s="8">
        <f>COUNTIF(perfumes!$G$2:$I$213,"*"&amp;A49&amp;"*")</f>
        <v/>
      </c>
    </row>
    <row r="50">
      <c r="A50" s="5" t="inlineStr">
        <is>
          <t>Labdanum</t>
        </is>
      </c>
      <c r="B50" s="5" t="inlineStr">
        <is>
          <t>라브다넘</t>
        </is>
      </c>
      <c r="C50" s="5" t="inlineStr">
        <is>
          <t>따뜻하고 달콤한 끈적한 수지 향</t>
        </is>
      </c>
      <c r="D50" s="5" t="inlineStr">
        <is>
          <t>amber</t>
        </is>
      </c>
      <c r="E50" s="8">
        <f>COUNTIF(perfumes!$G$2:$I$213,"*"&amp;A50&amp;"*")</f>
        <v/>
      </c>
    </row>
    <row r="51">
      <c r="A51" s="5" t="inlineStr">
        <is>
          <t>Lavender</t>
        </is>
      </c>
      <c r="B51" s="5" t="inlineStr">
        <is>
          <t>라벤더</t>
        </is>
      </c>
      <c r="C51" s="5" t="inlineStr">
        <is>
          <t>차분하고 깨끗한 보라색 허브 향</t>
        </is>
      </c>
      <c r="D51" s="5" t="inlineStr">
        <is>
          <t>aromatic</t>
        </is>
      </c>
      <c r="E51" s="8">
        <f>COUNTIF(perfumes!$G$2:$I$213,"*"&amp;A51&amp;"*")</f>
        <v/>
      </c>
    </row>
    <row r="52">
      <c r="A52" s="5" t="inlineStr">
        <is>
          <t>Leather</t>
        </is>
      </c>
      <c r="B52" s="5" t="inlineStr">
        <is>
          <t>가죽</t>
        </is>
      </c>
      <c r="C52" s="5" t="inlineStr">
        <is>
          <t>따뜻하고 고급스러운 가죽 향</t>
        </is>
      </c>
      <c r="D52" s="5" t="inlineStr">
        <is>
          <t>leather</t>
        </is>
      </c>
      <c r="E52" s="8">
        <f>COUNTIF(perfumes!$G$2:$I$213,"*"&amp;A52&amp;"*")</f>
        <v/>
      </c>
    </row>
    <row r="53">
      <c r="A53" s="5" t="inlineStr">
        <is>
          <t>Lemon</t>
        </is>
      </c>
      <c r="B53" s="5" t="inlineStr">
        <is>
          <t>레몬</t>
        </is>
      </c>
      <c r="C53" s="5" t="inlineStr">
        <is>
          <t>갓 짠 레몬즙처럼 톡 쏘는 상큼한 향</t>
        </is>
      </c>
      <c r="D53" s="5" t="inlineStr">
        <is>
          <t>citrus</t>
        </is>
      </c>
      <c r="E53" s="8">
        <f>COUNTIF(perfumes!$G$2:$I$213,"*"&amp;A53&amp;"*")</f>
        <v/>
      </c>
    </row>
    <row r="54">
      <c r="A54" s="5" t="inlineStr">
        <is>
          <t>Lily of the Valley</t>
        </is>
      </c>
      <c r="B54" s="5" t="inlineStr">
        <is>
          <t>은방울꽃</t>
        </is>
      </c>
      <c r="C54" s="5" t="inlineStr">
        <is>
          <t>맑고 청순한 작은 꽃 향</t>
        </is>
      </c>
      <c r="D54" s="5" t="inlineStr">
        <is>
          <t>floral</t>
        </is>
      </c>
      <c r="E54" s="8">
        <f>COUNTIF(perfumes!$G$2:$I$213,"*"&amp;A54&amp;"*")</f>
        <v/>
      </c>
    </row>
    <row r="55">
      <c r="A55" s="5" t="inlineStr">
        <is>
          <t>Lime</t>
        </is>
      </c>
      <c r="B55" s="5" t="inlineStr">
        <is>
          <t>라임</t>
        </is>
      </c>
      <c r="C55" s="5" t="inlineStr">
        <is>
          <t>톡 쏘고 청량한 라임 향</t>
        </is>
      </c>
      <c r="D55" s="5" t="inlineStr">
        <is>
          <t>citrus</t>
        </is>
      </c>
      <c r="E55" s="8">
        <f>COUNTIF(perfumes!$G$2:$I$213,"*"&amp;A55&amp;"*")</f>
        <v/>
      </c>
    </row>
    <row r="56">
      <c r="A56" s="5" t="inlineStr">
        <is>
          <t>Lotus</t>
        </is>
      </c>
      <c r="B56" s="5" t="inlineStr">
        <is>
          <t>연꽃</t>
        </is>
      </c>
      <c r="C56" s="5" t="inlineStr">
        <is>
          <t>맑고 촉촉한 물가의 꽃 향</t>
        </is>
      </c>
      <c r="D56" s="5" t="inlineStr">
        <is>
          <t>aqua</t>
        </is>
      </c>
      <c r="E56" s="8">
        <f>COUNTIF(perfumes!$G$2:$I$213,"*"&amp;A56&amp;"*")</f>
        <v/>
      </c>
    </row>
    <row r="57">
      <c r="A57" s="5" t="inlineStr">
        <is>
          <t>Lychee</t>
        </is>
      </c>
      <c r="B57" s="5" t="inlineStr">
        <is>
          <t>리치</t>
        </is>
      </c>
      <c r="C57" s="5" t="inlineStr">
        <is>
          <t>투명하고 달콤한 과즙 향</t>
        </is>
      </c>
      <c r="D57" s="5" t="inlineStr">
        <is>
          <t>fruity</t>
        </is>
      </c>
      <c r="E57" s="8">
        <f>COUNTIF(perfumes!$G$2:$I$213,"*"&amp;A57&amp;"*")</f>
        <v/>
      </c>
    </row>
    <row r="58">
      <c r="A58" s="5" t="inlineStr">
        <is>
          <t>Magnolia</t>
        </is>
      </c>
      <c r="B58" s="5" t="inlineStr">
        <is>
          <t>목련</t>
        </is>
      </c>
      <c r="C58" s="5" t="inlineStr">
        <is>
          <t>부드럽고 크리미한 하얀 꽃 향</t>
        </is>
      </c>
      <c r="D58" s="5" t="inlineStr">
        <is>
          <t>floral</t>
        </is>
      </c>
      <c r="E58" s="8">
        <f>COUNTIF(perfumes!$G$2:$I$213,"*"&amp;A58&amp;"*")</f>
        <v/>
      </c>
    </row>
    <row r="59">
      <c r="A59" s="5" t="inlineStr">
        <is>
          <t>Mandarin</t>
        </is>
      </c>
      <c r="B59" s="5" t="inlineStr">
        <is>
          <t>만다린</t>
        </is>
      </c>
      <c r="C59" s="5" t="inlineStr">
        <is>
          <t>말랑하고 달콤한 귤 향</t>
        </is>
      </c>
      <c r="D59" s="5" t="inlineStr">
        <is>
          <t>citrus</t>
        </is>
      </c>
      <c r="E59" s="8">
        <f>COUNTIF(perfumes!$G$2:$I$213,"*"&amp;A59&amp;"*")</f>
        <v/>
      </c>
    </row>
    <row r="60">
      <c r="A60" s="5" t="inlineStr">
        <is>
          <t>Mint</t>
        </is>
      </c>
      <c r="B60" s="5" t="inlineStr">
        <is>
          <t>민트</t>
        </is>
      </c>
      <c r="C60" s="5" t="inlineStr">
        <is>
          <t>입안이 시원해지는 박하 향</t>
        </is>
      </c>
      <c r="D60" s="5" t="inlineStr">
        <is>
          <t>aromatic</t>
        </is>
      </c>
      <c r="E60" s="8">
        <f>COUNTIF(perfumes!$G$2:$I$213,"*"&amp;A60&amp;"*")</f>
        <v/>
      </c>
    </row>
    <row r="61">
      <c r="A61" s="5" t="inlineStr">
        <is>
          <t>Musk</t>
        </is>
      </c>
      <c r="B61" s="5" t="inlineStr">
        <is>
          <t>머스크</t>
        </is>
      </c>
      <c r="C61" s="5" t="inlineStr">
        <is>
          <t>따뜻한 살결 같은 포근한 향</t>
        </is>
      </c>
      <c r="D61" s="5" t="inlineStr">
        <is>
          <t>musk</t>
        </is>
      </c>
      <c r="E61" s="8">
        <f>COUNTIF(perfumes!$G$2:$I$213,"*"&amp;A61&amp;"*")</f>
        <v/>
      </c>
    </row>
    <row r="62">
      <c r="A62" s="5" t="inlineStr">
        <is>
          <t>Neroli</t>
        </is>
      </c>
      <c r="B62" s="5" t="inlineStr">
        <is>
          <t>네롤리</t>
        </is>
      </c>
      <c r="C62" s="5" t="inlineStr">
        <is>
          <t>맑고 쌉쌀한 오렌지 꽃 향</t>
        </is>
      </c>
      <c r="D62" s="5" t="inlineStr">
        <is>
          <t>citrus</t>
        </is>
      </c>
      <c r="E62" s="8">
        <f>COUNTIF(perfumes!$G$2:$I$213,"*"&amp;A62&amp;"*")</f>
        <v/>
      </c>
    </row>
    <row r="63">
      <c r="A63" s="5" t="inlineStr">
        <is>
          <t>Nutmeg</t>
        </is>
      </c>
      <c r="B63" s="5" t="inlineStr">
        <is>
          <t>육두구</t>
        </is>
      </c>
      <c r="C63" s="5" t="inlineStr">
        <is>
          <t>따뜻하고 고소한 향신료 향</t>
        </is>
      </c>
      <c r="D63" s="5" t="inlineStr">
        <is>
          <t>spicy</t>
        </is>
      </c>
      <c r="E63" s="8">
        <f>COUNTIF(perfumes!$G$2:$I$213,"*"&amp;A63&amp;"*")</f>
        <v/>
      </c>
    </row>
    <row r="64">
      <c r="A64" s="5" t="inlineStr">
        <is>
          <t>Oak</t>
        </is>
      </c>
      <c r="B64" s="5" t="inlineStr">
        <is>
          <t>오크</t>
        </is>
      </c>
      <c r="C64" s="5" t="inlineStr">
        <is>
          <t>오크통 같은 고소하고 마른 나무 향</t>
        </is>
      </c>
      <c r="D64" s="5" t="inlineStr">
        <is>
          <t>woody</t>
        </is>
      </c>
      <c r="E64" s="8">
        <f>COUNTIF(perfumes!$G$2:$I$213,"*"&amp;A64&amp;"*")</f>
        <v/>
      </c>
    </row>
    <row r="65">
      <c r="A65" s="5" t="inlineStr">
        <is>
          <t>Oakmoss</t>
        </is>
      </c>
      <c r="B65" s="5" t="inlineStr">
        <is>
          <t>오크모스</t>
        </is>
      </c>
      <c r="C65" s="5" t="inlineStr">
        <is>
          <t>축축한 이끼와 숲 바닥 같은 향</t>
        </is>
      </c>
      <c r="D65" s="5" t="inlineStr">
        <is>
          <t>woody</t>
        </is>
      </c>
      <c r="E65" s="8">
        <f>COUNTIF(perfumes!$G$2:$I$213,"*"&amp;A65&amp;"*")</f>
        <v/>
      </c>
    </row>
    <row r="66">
      <c r="A66" s="5" t="inlineStr">
        <is>
          <t>Orange</t>
        </is>
      </c>
      <c r="B66" s="5" t="inlineStr">
        <is>
          <t>오렌지</t>
        </is>
      </c>
      <c r="C66" s="5" t="inlineStr">
        <is>
          <t>달콤하고 밝은 오렌지 껍질 향</t>
        </is>
      </c>
      <c r="D66" s="5" t="inlineStr">
        <is>
          <t>citrus</t>
        </is>
      </c>
      <c r="E66" s="8">
        <f>COUNTIF(perfumes!$G$2:$I$213,"*"&amp;A66&amp;"*")</f>
        <v/>
      </c>
    </row>
    <row r="67">
      <c r="A67" s="5" t="inlineStr">
        <is>
          <t>Orange Blossom</t>
        </is>
      </c>
      <c r="B67" s="5" t="inlineStr">
        <is>
          <t>오렌지 블러섬</t>
        </is>
      </c>
      <c r="C67" s="5" t="inlineStr">
        <is>
          <t>달콤하고 깨끗한 흰 꽃 향</t>
        </is>
      </c>
      <c r="D67" s="5" t="inlineStr">
        <is>
          <t>whiteFloral</t>
        </is>
      </c>
      <c r="E67" s="8">
        <f>COUNTIF(perfumes!$G$2:$I$213,"*"&amp;A67&amp;"*")</f>
        <v/>
      </c>
    </row>
    <row r="68">
      <c r="A68" s="5" t="inlineStr">
        <is>
          <t>Orchid</t>
        </is>
      </c>
      <c r="B68" s="5" t="inlineStr">
        <is>
          <t>난초</t>
        </is>
      </c>
      <c r="C68" s="5" t="inlineStr">
        <is>
          <t>달콤하고 부드러운 꽃 향</t>
        </is>
      </c>
      <c r="D68" s="5" t="inlineStr">
        <is>
          <t>floral</t>
        </is>
      </c>
      <c r="E68" s="8">
        <f>COUNTIF(perfumes!$G$2:$I$213,"*"&amp;A68&amp;"*")</f>
        <v/>
      </c>
    </row>
    <row r="69">
      <c r="A69" s="5" t="inlineStr">
        <is>
          <t>Osmanthus</t>
        </is>
      </c>
      <c r="B69" s="5" t="inlineStr">
        <is>
          <t>오스만투스</t>
        </is>
      </c>
      <c r="C69" s="5" t="inlineStr">
        <is>
          <t>살구처럼 달콤한 작은 꽃 향</t>
        </is>
      </c>
      <c r="D69" s="5" t="inlineStr">
        <is>
          <t>floral</t>
        </is>
      </c>
      <c r="E69" s="8">
        <f>COUNTIF(perfumes!$G$2:$I$213,"*"&amp;A69&amp;"*")</f>
        <v/>
      </c>
    </row>
    <row r="70">
      <c r="A70" s="5" t="inlineStr">
        <is>
          <t>Oud</t>
        </is>
      </c>
      <c r="B70" s="5" t="inlineStr">
        <is>
          <t>우드(오우드)</t>
        </is>
      </c>
      <c r="C70" s="5" t="inlineStr">
        <is>
          <t>진하고 약간 쌉쌀한 고급 침향 향</t>
        </is>
      </c>
      <c r="D70" s="5" t="inlineStr">
        <is>
          <t>woody</t>
        </is>
      </c>
      <c r="E70" s="8">
        <f>COUNTIF(perfumes!$G$2:$I$213,"*"&amp;A70&amp;"*")</f>
        <v/>
      </c>
    </row>
    <row r="71">
      <c r="A71" s="5" t="inlineStr">
        <is>
          <t>Papyrus</t>
        </is>
      </c>
      <c r="B71" s="5" t="inlineStr">
        <is>
          <t>파피루스</t>
        </is>
      </c>
      <c r="C71" s="5" t="inlineStr">
        <is>
          <t>마른 종이처럼 건조한 나무 향</t>
        </is>
      </c>
      <c r="D71" s="5" t="inlineStr">
        <is>
          <t>woody</t>
        </is>
      </c>
      <c r="E71" s="8">
        <f>COUNTIF(perfumes!$G$2:$I$213,"*"&amp;A71&amp;"*")</f>
        <v/>
      </c>
    </row>
    <row r="72">
      <c r="A72" s="5" t="inlineStr">
        <is>
          <t>Patchouli</t>
        </is>
      </c>
      <c r="B72" s="5" t="inlineStr">
        <is>
          <t>패출리</t>
        </is>
      </c>
      <c r="C72" s="5" t="inlineStr">
        <is>
          <t>흙냄새 나는 깊고 진한 풀 향</t>
        </is>
      </c>
      <c r="D72" s="5" t="inlineStr">
        <is>
          <t>woody</t>
        </is>
      </c>
      <c r="E72" s="8">
        <f>COUNTIF(perfumes!$G$2:$I$213,"*"&amp;A72&amp;"*")</f>
        <v/>
      </c>
    </row>
    <row r="73">
      <c r="A73" s="5" t="inlineStr">
        <is>
          <t>Pear</t>
        </is>
      </c>
      <c r="B73" s="5" t="inlineStr">
        <is>
          <t>배</t>
        </is>
      </c>
      <c r="C73" s="5" t="inlineStr">
        <is>
          <t>촉촉하고 달콤한 배 향</t>
        </is>
      </c>
      <c r="D73" s="5" t="inlineStr">
        <is>
          <t>fruity</t>
        </is>
      </c>
      <c r="E73" s="8">
        <f>COUNTIF(perfumes!$G$2:$I$213,"*"&amp;A73&amp;"*")</f>
        <v/>
      </c>
    </row>
    <row r="74">
      <c r="A74" s="5" t="inlineStr">
        <is>
          <t>Peony</t>
        </is>
      </c>
      <c r="B74" s="5" t="inlineStr">
        <is>
          <t>작약</t>
        </is>
      </c>
      <c r="C74" s="5" t="inlineStr">
        <is>
          <t>보드랍고 촉촉한 분홍 꽃 향</t>
        </is>
      </c>
      <c r="D74" s="5" t="inlineStr">
        <is>
          <t>floral</t>
        </is>
      </c>
      <c r="E74" s="8">
        <f>COUNTIF(perfumes!$G$2:$I$213,"*"&amp;A74&amp;"*")</f>
        <v/>
      </c>
    </row>
    <row r="75">
      <c r="A75" s="5" t="inlineStr">
        <is>
          <t>Pepper</t>
        </is>
      </c>
      <c r="B75" s="5" t="inlineStr">
        <is>
          <t>후추</t>
        </is>
      </c>
      <c r="C75" s="5" t="inlineStr">
        <is>
          <t>톡 쏘고 알싸한 후추 향</t>
        </is>
      </c>
      <c r="D75" s="5" t="inlineStr">
        <is>
          <t>spicy</t>
        </is>
      </c>
      <c r="E75" s="8">
        <f>COUNTIF(perfumes!$G$2:$I$213,"*"&amp;A75&amp;"*")</f>
        <v/>
      </c>
    </row>
    <row r="76">
      <c r="A76" s="5" t="inlineStr">
        <is>
          <t>Pine Needles</t>
        </is>
      </c>
      <c r="B76" s="5" t="inlineStr">
        <is>
          <t>소나무 잎</t>
        </is>
      </c>
      <c r="C76" s="5" t="inlineStr">
        <is>
          <t>숲속 공기 같은 상쾌한 솔잎 향</t>
        </is>
      </c>
      <c r="D76" s="5" t="inlineStr">
        <is>
          <t>woody</t>
        </is>
      </c>
      <c r="E76" s="8">
        <f>COUNTIF(perfumes!$G$2:$I$213,"*"&amp;A76&amp;"*")</f>
        <v/>
      </c>
    </row>
    <row r="77">
      <c r="A77" s="5" t="inlineStr">
        <is>
          <t>Pineapple</t>
        </is>
      </c>
      <c r="B77" s="5" t="inlineStr">
        <is>
          <t>파인애플</t>
        </is>
      </c>
      <c r="C77" s="5" t="inlineStr">
        <is>
          <t>톡 쏘는 달콤한 열대과일 향</t>
        </is>
      </c>
      <c r="D77" s="5" t="inlineStr">
        <is>
          <t>fruity</t>
        </is>
      </c>
      <c r="E77" s="8">
        <f>COUNTIF(perfumes!$G$2:$I$213,"*"&amp;A77&amp;"*")</f>
        <v/>
      </c>
    </row>
    <row r="78">
      <c r="A78" s="5" t="inlineStr">
        <is>
          <t>Pink Pepper</t>
        </is>
      </c>
      <c r="B78" s="5" t="inlineStr">
        <is>
          <t>핑크 페퍼</t>
        </is>
      </c>
      <c r="C78" s="5" t="inlineStr">
        <is>
          <t>톡 쏘고 가벼운 후추 향</t>
        </is>
      </c>
      <c r="D78" s="5" t="inlineStr">
        <is>
          <t>spicy</t>
        </is>
      </c>
      <c r="E78" s="8">
        <f>COUNTIF(perfumes!$G$2:$I$213,"*"&amp;A78&amp;"*")</f>
        <v/>
      </c>
    </row>
    <row r="79">
      <c r="A79" s="5" t="inlineStr">
        <is>
          <t>Praline</t>
        </is>
      </c>
      <c r="B79" s="5" t="inlineStr">
        <is>
          <t>프랄린</t>
        </is>
      </c>
      <c r="C79" s="5" t="inlineStr">
        <is>
          <t>고소하고 달콤한 견과 캐러멜 향</t>
        </is>
      </c>
      <c r="D79" s="5" t="inlineStr">
        <is>
          <t>gourmand</t>
        </is>
      </c>
      <c r="E79" s="8">
        <f>COUNTIF(perfumes!$G$2:$I$213,"*"&amp;A79&amp;"*")</f>
        <v/>
      </c>
    </row>
    <row r="80">
      <c r="A80" s="5" t="inlineStr">
        <is>
          <t>Quince</t>
        </is>
      </c>
      <c r="B80" s="5" t="inlineStr">
        <is>
          <t>마르멜로</t>
        </is>
      </c>
      <c r="C80" s="5" t="inlineStr">
        <is>
          <t>새콤달콤하고 은은한 노란 과일 향</t>
        </is>
      </c>
      <c r="D80" s="5" t="inlineStr">
        <is>
          <t>fruity</t>
        </is>
      </c>
      <c r="E80" s="8">
        <f>COUNTIF(perfumes!$G$2:$I$213,"*"&amp;A80&amp;"*")</f>
        <v/>
      </c>
    </row>
    <row r="81">
      <c r="A81" s="5" t="inlineStr">
        <is>
          <t>Rangoon Creeper</t>
        </is>
      </c>
      <c r="B81" s="5" t="inlineStr">
        <is>
          <t>랑군 크리퍼</t>
        </is>
      </c>
      <c r="C81" s="5" t="inlineStr">
        <is>
          <t>달콤하고 신선한 덩굴 꽃 향</t>
        </is>
      </c>
      <c r="D81" s="5" t="inlineStr">
        <is>
          <t>whiteFloral</t>
        </is>
      </c>
      <c r="E81" s="8">
        <f>COUNTIF(perfumes!$G$2:$I$213,"*"&amp;A81&amp;"*")</f>
        <v/>
      </c>
    </row>
    <row r="82">
      <c r="A82" s="5" t="inlineStr">
        <is>
          <t>Raspberry</t>
        </is>
      </c>
      <c r="B82" s="5" t="inlineStr">
        <is>
          <t>라즈베리</t>
        </is>
      </c>
      <c r="C82" s="5" t="inlineStr">
        <is>
          <t>새콤달콤한 붉은 베리 향</t>
        </is>
      </c>
      <c r="D82" s="5" t="inlineStr">
        <is>
          <t>fruity</t>
        </is>
      </c>
      <c r="E82" s="8">
        <f>COUNTIF(perfumes!$G$2:$I$213,"*"&amp;A82&amp;"*")</f>
        <v/>
      </c>
    </row>
    <row r="83">
      <c r="A83" s="5" t="inlineStr">
        <is>
          <t>Rose</t>
        </is>
      </c>
      <c r="B83" s="5" t="inlineStr">
        <is>
          <t>장미</t>
        </is>
      </c>
      <c r="C83" s="5" t="inlineStr">
        <is>
          <t>우아하고 부드러운 꽃잎 향</t>
        </is>
      </c>
      <c r="D83" s="5" t="inlineStr">
        <is>
          <t>floral</t>
        </is>
      </c>
      <c r="E83" s="8">
        <f>COUNTIF(perfumes!$G$2:$I$213,"*"&amp;A83&amp;"*")</f>
        <v/>
      </c>
    </row>
    <row r="84">
      <c r="A84" s="5" t="inlineStr">
        <is>
          <t>Rosemary</t>
        </is>
      </c>
      <c r="B84" s="5" t="inlineStr">
        <is>
          <t>로즈마리</t>
        </is>
      </c>
      <c r="C84" s="5" t="inlineStr">
        <is>
          <t>상쾌하고 약간 쌉쌀한 허브 향</t>
        </is>
      </c>
      <c r="D84" s="5" t="inlineStr">
        <is>
          <t>aromatic</t>
        </is>
      </c>
      <c r="E84" s="8">
        <f>COUNTIF(perfumes!$G$2:$I$213,"*"&amp;A84&amp;"*")</f>
        <v/>
      </c>
    </row>
    <row r="85">
      <c r="A85" s="5" t="inlineStr">
        <is>
          <t>Rosewood</t>
        </is>
      </c>
      <c r="B85" s="5" t="inlineStr">
        <is>
          <t>로즈우드</t>
        </is>
      </c>
      <c r="C85" s="5" t="inlineStr">
        <is>
          <t>장미를 닮은 부드러운 나무 향</t>
        </is>
      </c>
      <c r="D85" s="5" t="inlineStr">
        <is>
          <t>woody</t>
        </is>
      </c>
      <c r="E85" s="8">
        <f>COUNTIF(perfumes!$G$2:$I$213,"*"&amp;A85&amp;"*")</f>
        <v/>
      </c>
    </row>
    <row r="86">
      <c r="A86" s="5" t="inlineStr">
        <is>
          <t>Rum</t>
        </is>
      </c>
      <c r="B86" s="5" t="inlineStr">
        <is>
          <t>럼</t>
        </is>
      </c>
      <c r="C86" s="5" t="inlineStr">
        <is>
          <t>달콤하고 따뜻한 술 향</t>
        </is>
      </c>
      <c r="D86" s="5" t="inlineStr">
        <is>
          <t>gourmand</t>
        </is>
      </c>
      <c r="E86" s="8">
        <f>COUNTIF(perfumes!$G$2:$I$213,"*"&amp;A86&amp;"*")</f>
        <v/>
      </c>
    </row>
    <row r="87">
      <c r="A87" s="5" t="inlineStr">
        <is>
          <t>Saffron</t>
        </is>
      </c>
      <c r="B87" s="5" t="inlineStr">
        <is>
          <t>사프란</t>
        </is>
      </c>
      <c r="C87" s="5" t="inlineStr">
        <is>
          <t>따뜻하고 가죽 같은 고급 향신료 향</t>
        </is>
      </c>
      <c r="D87" s="5" t="inlineStr">
        <is>
          <t>spicy</t>
        </is>
      </c>
      <c r="E87" s="8">
        <f>COUNTIF(perfumes!$G$2:$I$213,"*"&amp;A87&amp;"*")</f>
        <v/>
      </c>
    </row>
    <row r="88">
      <c r="A88" s="5" t="inlineStr">
        <is>
          <t>Sage</t>
        </is>
      </c>
      <c r="B88" s="5" t="inlineStr">
        <is>
          <t>세이지</t>
        </is>
      </c>
      <c r="C88" s="5" t="inlineStr">
        <is>
          <t>마른 풀처럼 건조하고 쌉쌀한 허브 향</t>
        </is>
      </c>
      <c r="D88" s="5" t="inlineStr">
        <is>
          <t>aromatic</t>
        </is>
      </c>
      <c r="E88" s="8">
        <f>COUNTIF(perfumes!$G$2:$I$213,"*"&amp;A88&amp;"*")</f>
        <v/>
      </c>
    </row>
    <row r="89">
      <c r="A89" s="5" t="inlineStr">
        <is>
          <t>Sandalwood</t>
        </is>
      </c>
      <c r="B89" s="5" t="inlineStr">
        <is>
          <t>샌달우드</t>
        </is>
      </c>
      <c r="C89" s="5" t="inlineStr">
        <is>
          <t>부드럽고 크리미한 따뜻한 나무 향</t>
        </is>
      </c>
      <c r="D89" s="5" t="inlineStr">
        <is>
          <t>woody</t>
        </is>
      </c>
      <c r="E89" s="8">
        <f>COUNTIF(perfumes!$G$2:$I$213,"*"&amp;A89&amp;"*")</f>
        <v/>
      </c>
    </row>
    <row r="90">
      <c r="A90" s="5" t="inlineStr">
        <is>
          <t>Sea Notes</t>
        </is>
      </c>
      <c r="B90" s="5" t="inlineStr">
        <is>
          <t>바다 노트</t>
        </is>
      </c>
      <c r="C90" s="5" t="inlineStr">
        <is>
          <t>시원한 바닷바람 같은 물 향</t>
        </is>
      </c>
      <c r="D90" s="5" t="inlineStr">
        <is>
          <t>aqua</t>
        </is>
      </c>
      <c r="E90" s="8">
        <f>COUNTIF(perfumes!$G$2:$I$213,"*"&amp;A90&amp;"*")</f>
        <v/>
      </c>
    </row>
    <row r="91">
      <c r="A91" s="5" t="inlineStr">
        <is>
          <t>Sea Salt</t>
        </is>
      </c>
      <c r="B91" s="5" t="inlineStr">
        <is>
          <t>바다 소금</t>
        </is>
      </c>
      <c r="C91" s="5" t="inlineStr">
        <is>
          <t>짭짤하고 깨끗한 바다 향</t>
        </is>
      </c>
      <c r="D91" s="5" t="inlineStr">
        <is>
          <t>aqua</t>
        </is>
      </c>
      <c r="E91" s="8">
        <f>COUNTIF(perfumes!$G$2:$I$213,"*"&amp;A91&amp;"*")</f>
        <v/>
      </c>
    </row>
    <row r="92">
      <c r="A92" s="5" t="inlineStr">
        <is>
          <t>Spices</t>
        </is>
      </c>
      <c r="B92" s="5" t="inlineStr">
        <is>
          <t>향신료</t>
        </is>
      </c>
      <c r="C92" s="5" t="inlineStr">
        <is>
          <t>따뜻하고 알싸한 향신료 향</t>
        </is>
      </c>
      <c r="D92" s="5" t="inlineStr">
        <is>
          <t>spicy</t>
        </is>
      </c>
      <c r="E92" s="8">
        <f>COUNTIF(perfumes!$G$2:$I$213,"*"&amp;A92&amp;"*")</f>
        <v/>
      </c>
    </row>
    <row r="93">
      <c r="A93" s="5" t="inlineStr">
        <is>
          <t>Strawberry</t>
        </is>
      </c>
      <c r="B93" s="5" t="inlineStr">
        <is>
          <t>딸기</t>
        </is>
      </c>
      <c r="C93" s="5" t="inlineStr">
        <is>
          <t>달콤하고 상큼한 딸기 향</t>
        </is>
      </c>
      <c r="D93" s="5" t="inlineStr">
        <is>
          <t>fruity</t>
        </is>
      </c>
      <c r="E93" s="8">
        <f>COUNTIF(perfumes!$G$2:$I$213,"*"&amp;A93&amp;"*")</f>
        <v/>
      </c>
    </row>
    <row r="94">
      <c r="A94" s="5" t="inlineStr">
        <is>
          <t>Styrax</t>
        </is>
      </c>
      <c r="B94" s="5" t="inlineStr">
        <is>
          <t>스티락스</t>
        </is>
      </c>
      <c r="C94" s="5" t="inlineStr">
        <is>
          <t>따뜻하고 약간 연기 나는 수지 향</t>
        </is>
      </c>
      <c r="D94" s="5" t="inlineStr">
        <is>
          <t>amber</t>
        </is>
      </c>
      <c r="E94" s="8">
        <f>COUNTIF(perfumes!$G$2:$I$213,"*"&amp;A94&amp;"*")</f>
        <v/>
      </c>
    </row>
    <row r="95">
      <c r="A95" s="5" t="inlineStr">
        <is>
          <t>Suede</t>
        </is>
      </c>
      <c r="B95" s="5" t="inlineStr">
        <is>
          <t>스웨이드</t>
        </is>
      </c>
      <c r="C95" s="5" t="inlineStr">
        <is>
          <t>보들보들한 부드러운 가죽 향</t>
        </is>
      </c>
      <c r="D95" s="5" t="inlineStr">
        <is>
          <t>leather</t>
        </is>
      </c>
      <c r="E95" s="8">
        <f>COUNTIF(perfumes!$G$2:$I$213,"*"&amp;A95&amp;"*")</f>
        <v/>
      </c>
    </row>
    <row r="96">
      <c r="A96" s="5" t="inlineStr">
        <is>
          <t>Tea</t>
        </is>
      </c>
      <c r="B96" s="5" t="inlineStr">
        <is>
          <t>차</t>
        </is>
      </c>
      <c r="C96" s="5" t="inlineStr">
        <is>
          <t>따뜻하고 깔끔한 찻잎 향</t>
        </is>
      </c>
      <c r="D96" s="5" t="inlineStr">
        <is>
          <t>green</t>
        </is>
      </c>
      <c r="E96" s="8">
        <f>COUNTIF(perfumes!$G$2:$I$213,"*"&amp;A96&amp;"*")</f>
        <v/>
      </c>
    </row>
    <row r="97">
      <c r="A97" s="5" t="inlineStr">
        <is>
          <t>Tobacco Leaf</t>
        </is>
      </c>
      <c r="B97" s="5" t="inlineStr">
        <is>
          <t>담뱃잎</t>
        </is>
      </c>
      <c r="C97" s="5" t="inlineStr">
        <is>
          <t>따뜻하고 달콤하게 마른 잎 향</t>
        </is>
      </c>
      <c r="D97" s="5" t="inlineStr">
        <is>
          <t>leather</t>
        </is>
      </c>
      <c r="E97" s="8">
        <f>COUNTIF(perfumes!$G$2:$I$213,"*"&amp;A97&amp;"*")</f>
        <v/>
      </c>
    </row>
    <row r="98">
      <c r="A98" s="5" t="inlineStr">
        <is>
          <t>Tomato Leaf</t>
        </is>
      </c>
      <c r="B98" s="5" t="inlineStr">
        <is>
          <t>토마토잎</t>
        </is>
      </c>
      <c r="C98" s="5" t="inlineStr">
        <is>
          <t>줄기를 꺾을 때 나는 진한 풀 향</t>
        </is>
      </c>
      <c r="D98" s="5" t="inlineStr">
        <is>
          <t>green</t>
        </is>
      </c>
      <c r="E98" s="8">
        <f>COUNTIF(perfumes!$G$2:$I$213,"*"&amp;A98&amp;"*")</f>
        <v/>
      </c>
    </row>
    <row r="99">
      <c r="A99" s="5" t="inlineStr">
        <is>
          <t>Tonka Bean</t>
        </is>
      </c>
      <c r="B99" s="5" t="inlineStr">
        <is>
          <t>통카빈</t>
        </is>
      </c>
      <c r="C99" s="5" t="inlineStr">
        <is>
          <t>바닐라와 아몬드가 섞인 달콤한 향</t>
        </is>
      </c>
      <c r="D99" s="5" t="inlineStr">
        <is>
          <t>gourmand</t>
        </is>
      </c>
      <c r="E99" s="8">
        <f>COUNTIF(perfumes!$G$2:$I$213,"*"&amp;A99&amp;"*")</f>
        <v/>
      </c>
    </row>
    <row r="100">
      <c r="A100" s="5" t="inlineStr">
        <is>
          <t>Tuberose</t>
        </is>
      </c>
      <c r="B100" s="5" t="inlineStr">
        <is>
          <t>튜베로즈</t>
        </is>
      </c>
      <c r="C100" s="5" t="inlineStr">
        <is>
          <t>진하고 관능적인 하얀 꽃 향</t>
        </is>
      </c>
      <c r="D100" s="5" t="inlineStr">
        <is>
          <t>whiteFloral</t>
        </is>
      </c>
      <c r="E100" s="8">
        <f>COUNTIF(perfumes!$G$2:$I$213,"*"&amp;A100&amp;"*")</f>
        <v/>
      </c>
    </row>
    <row r="101">
      <c r="A101" s="5" t="inlineStr">
        <is>
          <t>Vanilla</t>
        </is>
      </c>
      <c r="B101" s="5" t="inlineStr">
        <is>
          <t>바닐라</t>
        </is>
      </c>
      <c r="C101" s="5" t="inlineStr">
        <is>
          <t>달콤하고 포근한 디저트 향</t>
        </is>
      </c>
      <c r="D101" s="5" t="inlineStr">
        <is>
          <t>gourmand</t>
        </is>
      </c>
      <c r="E101" s="8">
        <f>COUNTIF(perfumes!$G$2:$I$213,"*"&amp;A101&amp;"*")</f>
        <v/>
      </c>
    </row>
    <row r="102">
      <c r="A102" s="5" t="inlineStr">
        <is>
          <t>Vetiver</t>
        </is>
      </c>
      <c r="B102" s="5" t="inlineStr">
        <is>
          <t>베티버</t>
        </is>
      </c>
      <c r="C102" s="5" t="inlineStr">
        <is>
          <t>촉촉한 흙과 풀뿌리 같은 차분한 향</t>
        </is>
      </c>
      <c r="D102" s="5" t="inlineStr">
        <is>
          <t>woody</t>
        </is>
      </c>
      <c r="E102" s="8">
        <f>COUNTIF(perfumes!$G$2:$I$213,"*"&amp;A102&amp;"*")</f>
        <v/>
      </c>
    </row>
    <row r="103">
      <c r="A103" s="5" t="inlineStr">
        <is>
          <t>Violet</t>
        </is>
      </c>
      <c r="B103" s="5" t="inlineStr">
        <is>
          <t>바이올렛</t>
        </is>
      </c>
      <c r="C103" s="5" t="inlineStr">
        <is>
          <t>보송하고 은은한 보라색 꽃 향</t>
        </is>
      </c>
      <c r="D103" s="5" t="inlineStr">
        <is>
          <t>powdery</t>
        </is>
      </c>
      <c r="E103" s="8">
        <f>COUNTIF(perfumes!$G$2:$I$213,"*"&amp;A103&amp;"*")</f>
        <v/>
      </c>
    </row>
    <row r="104">
      <c r="A104" s="5" t="inlineStr">
        <is>
          <t>Violet Leaf</t>
        </is>
      </c>
      <c r="B104" s="5" t="inlineStr">
        <is>
          <t>바이올렛 잎</t>
        </is>
      </c>
      <c r="C104" s="5" t="inlineStr">
        <is>
          <t>촉촉하고 서늘한 초록 잎 향</t>
        </is>
      </c>
      <c r="D104" s="5" t="inlineStr">
        <is>
          <t>green</t>
        </is>
      </c>
      <c r="E104" s="8">
        <f>COUNTIF(perfumes!$G$2:$I$213,"*"&amp;A104&amp;"*")</f>
        <v/>
      </c>
    </row>
    <row r="105">
      <c r="A105" s="5" t="inlineStr">
        <is>
          <t>White Musk</t>
        </is>
      </c>
      <c r="B105" s="5" t="inlineStr">
        <is>
          <t>화이트 머스크</t>
        </is>
      </c>
      <c r="C105" s="5" t="inlineStr">
        <is>
          <t>갓 빤 하얀 빨래 같은 포근한 향</t>
        </is>
      </c>
      <c r="D105" s="5" t="inlineStr">
        <is>
          <t>musk</t>
        </is>
      </c>
      <c r="E105" s="8">
        <f>COUNTIF(perfumes!$G$2:$I$213,"*"&amp;A105&amp;"*")</f>
        <v/>
      </c>
    </row>
    <row r="106">
      <c r="A106" s="5" t="inlineStr">
        <is>
          <t>White Rose</t>
        </is>
      </c>
      <c r="B106" s="5" t="inlineStr">
        <is>
          <t>화이트 로즈</t>
        </is>
      </c>
      <c r="C106" s="5" t="inlineStr">
        <is>
          <t>맑고 깨끗한 하얀 장미 향</t>
        </is>
      </c>
      <c r="D106" s="5" t="inlineStr">
        <is>
          <t>floral</t>
        </is>
      </c>
      <c r="E106" s="8">
        <f>COUNTIF(perfumes!$G$2:$I$213,"*"&amp;A106&amp;"*")</f>
        <v/>
      </c>
    </row>
    <row r="107">
      <c r="A107" s="5" t="inlineStr">
        <is>
          <t>Woody Notes</t>
        </is>
      </c>
      <c r="B107" s="5" t="inlineStr">
        <is>
          <t>우디 노트</t>
        </is>
      </c>
      <c r="C107" s="5" t="inlineStr">
        <is>
          <t>마른 나무처럼 따뜻하고 부드러운 향</t>
        </is>
      </c>
      <c r="D107" s="5" t="inlineStr">
        <is>
          <t>woody</t>
        </is>
      </c>
      <c r="E107" s="8">
        <f>COUNTIF(perfumes!$G$2:$I$213,"*"&amp;A107&amp;"*")</f>
        <v/>
      </c>
    </row>
    <row r="108">
      <c r="A108" s="5" t="inlineStr">
        <is>
          <t>Ylang-Ylang</t>
        </is>
      </c>
      <c r="B108" s="5" t="inlineStr">
        <is>
          <t>일랑일랑</t>
        </is>
      </c>
      <c r="C108" s="5" t="inlineStr">
        <is>
          <t>달콤하고 크리미한 열대 꽃 향</t>
        </is>
      </c>
      <c r="D108" s="5" t="inlineStr">
        <is>
          <t>whiteFloral</t>
        </is>
      </c>
      <c r="E108" s="8">
        <f>COUNTIF(perfumes!$G$2:$I$213,"*"&amp;A108&amp;"*")</f>
        <v/>
      </c>
    </row>
    <row r="109">
      <c r="A109" s="5" t="inlineStr">
        <is>
          <t>Almond</t>
        </is>
      </c>
      <c r="B109" s="5" t="inlineStr">
        <is>
          <t>아몬드</t>
        </is>
      </c>
      <c r="C109" s="5" t="inlineStr">
        <is>
          <t>고소하고 달콤한 견과 향</t>
        </is>
      </c>
      <c r="D109" s="5" t="inlineStr">
        <is>
          <t>gourmand</t>
        </is>
      </c>
      <c r="E109" s="8">
        <f>COUNTIF(perfumes!$G$2:$I$213,"*"&amp;A109&amp;"*")</f>
        <v/>
      </c>
    </row>
    <row r="110">
      <c r="A110" s="5" t="inlineStr">
        <is>
          <t>Basil</t>
        </is>
      </c>
      <c r="B110" s="5" t="inlineStr">
        <is>
          <t>바질</t>
        </is>
      </c>
      <c r="C110" s="5" t="inlineStr">
        <is>
          <t>싱그럽고 살짝 매콤한 허브 향</t>
        </is>
      </c>
      <c r="D110" s="5" t="inlineStr">
        <is>
          <t>aromatic</t>
        </is>
      </c>
      <c r="E110" s="8">
        <f>COUNTIF(perfumes!$G$2:$I$213,"*"&amp;A110&amp;"*")</f>
        <v/>
      </c>
    </row>
    <row r="111">
      <c r="A111" s="5" t="inlineStr">
        <is>
          <t>Birch</t>
        </is>
      </c>
      <c r="B111" s="5" t="inlineStr">
        <is>
          <t>자작나무</t>
        </is>
      </c>
      <c r="C111" s="5" t="inlineStr">
        <is>
          <t>스모키하고 가죽 같은 마른 나무 향</t>
        </is>
      </c>
      <c r="D111" s="5" t="inlineStr">
        <is>
          <t>leather</t>
        </is>
      </c>
      <c r="E111" s="8">
        <f>COUNTIF(perfumes!$G$2:$I$213,"*"&amp;A111&amp;"*")</f>
        <v/>
      </c>
    </row>
    <row r="112">
      <c r="A112" s="5" t="inlineStr">
        <is>
          <t>Cetalox</t>
        </is>
      </c>
      <c r="B112" s="5" t="inlineStr">
        <is>
          <t>세탈록스</t>
        </is>
      </c>
      <c r="C112" s="5" t="inlineStr">
        <is>
          <t>깨끗하고 따뜻한 피부 같은 은은한 향</t>
        </is>
      </c>
      <c r="D112" s="5" t="inlineStr">
        <is>
          <t>musk</t>
        </is>
      </c>
      <c r="E112" s="8">
        <f>COUNTIF(perfumes!$G$2:$I$213,"*"&amp;A112&amp;"*")</f>
        <v/>
      </c>
    </row>
    <row r="113">
      <c r="A113" s="5" t="inlineStr">
        <is>
          <t>Cherry</t>
        </is>
      </c>
      <c r="B113" s="5" t="inlineStr">
        <is>
          <t>체리</t>
        </is>
      </c>
      <c r="C113" s="5" t="inlineStr">
        <is>
          <t>새콤달콤한 빨간 열매 향</t>
        </is>
      </c>
      <c r="D113" s="5" t="inlineStr">
        <is>
          <t>fruity</t>
        </is>
      </c>
      <c r="E113" s="8">
        <f>COUNTIF(perfumes!$G$2:$I$213,"*"&amp;A113&amp;"*")</f>
        <v/>
      </c>
    </row>
    <row r="114">
      <c r="A114" s="5" t="inlineStr">
        <is>
          <t>Cucumber</t>
        </is>
      </c>
      <c r="B114" s="5" t="inlineStr">
        <is>
          <t>오이</t>
        </is>
      </c>
      <c r="C114" s="5" t="inlineStr">
        <is>
          <t>시원하고 물기 많은 풀 향</t>
        </is>
      </c>
      <c r="D114" s="5" t="inlineStr">
        <is>
          <t>green</t>
        </is>
      </c>
      <c r="E114" s="8">
        <f>COUNTIF(perfumes!$G$2:$I$213,"*"&amp;A114&amp;"*")</f>
        <v/>
      </c>
    </row>
    <row r="115">
      <c r="A115" s="5" t="inlineStr">
        <is>
          <t>Cumin</t>
        </is>
      </c>
      <c r="B115" s="5" t="inlineStr">
        <is>
          <t>큐민</t>
        </is>
      </c>
      <c r="C115" s="5" t="inlineStr">
        <is>
          <t>따뜻하고 약간 땀 냄새 같은 진한 향신료 향</t>
        </is>
      </c>
      <c r="D115" s="5" t="inlineStr">
        <is>
          <t>spicy</t>
        </is>
      </c>
      <c r="E115" s="8">
        <f>COUNTIF(perfumes!$G$2:$I$213,"*"&amp;A115&amp;"*")</f>
        <v/>
      </c>
    </row>
    <row r="116">
      <c r="A116" s="5" t="inlineStr">
        <is>
          <t>Hinoki</t>
        </is>
      </c>
      <c r="B116" s="5" t="inlineStr">
        <is>
          <t>히노키</t>
        </is>
      </c>
      <c r="C116" s="5" t="inlineStr">
        <is>
          <t>편백나무 같은 맑고 따뜻한 나무 향</t>
        </is>
      </c>
      <c r="D116" s="5" t="inlineStr">
        <is>
          <t>woody</t>
        </is>
      </c>
      <c r="E116" s="8">
        <f>COUNTIF(perfumes!$G$2:$I$213,"*"&amp;A116&amp;"*")</f>
        <v/>
      </c>
    </row>
    <row r="117">
      <c r="A117" s="5" t="inlineStr">
        <is>
          <t>Iso E Super</t>
        </is>
      </c>
      <c r="B117" s="5" t="inlineStr">
        <is>
          <t>아이소 이 슈퍼</t>
        </is>
      </c>
      <c r="C117" s="5" t="inlineStr">
        <is>
          <t>맑고 부드러운 투명한 나무 향</t>
        </is>
      </c>
      <c r="D117" s="5" t="inlineStr">
        <is>
          <t>woody</t>
        </is>
      </c>
      <c r="E117" s="8">
        <f>COUNTIF(perfumes!$G$2:$I$213,"*"&amp;A117&amp;"*")</f>
        <v/>
      </c>
    </row>
    <row r="118">
      <c r="A118" s="5" t="inlineStr">
        <is>
          <t>Lilac</t>
        </is>
      </c>
      <c r="B118" s="5" t="inlineStr">
        <is>
          <t>라일락</t>
        </is>
      </c>
      <c r="C118" s="5" t="inlineStr">
        <is>
          <t>봄날 골목에 퍼지는 보랏빛 꽃 향</t>
        </is>
      </c>
      <c r="D118" s="5" t="inlineStr">
        <is>
          <t>floral</t>
        </is>
      </c>
      <c r="E118" s="8">
        <f>COUNTIF(perfumes!$G$2:$I$213,"*"&amp;A118&amp;"*")</f>
        <v/>
      </c>
    </row>
    <row r="119">
      <c r="A119" s="5" t="inlineStr">
        <is>
          <t>Marshmallow</t>
        </is>
      </c>
      <c r="B119" s="5" t="inlineStr">
        <is>
          <t>마시멜로</t>
        </is>
      </c>
      <c r="C119" s="5" t="inlineStr">
        <is>
          <t>폭신하고 달콤한 설탕 과자 향</t>
        </is>
      </c>
      <c r="D119" s="5" t="inlineStr">
        <is>
          <t>gourmand</t>
        </is>
      </c>
      <c r="E119" s="8">
        <f>COUNTIF(perfumes!$G$2:$I$213,"*"&amp;A119&amp;"*")</f>
        <v/>
      </c>
    </row>
    <row r="120">
      <c r="A120" s="5" t="inlineStr">
        <is>
          <t>Peach</t>
        </is>
      </c>
      <c r="B120" s="5" t="inlineStr">
        <is>
          <t>복숭아</t>
        </is>
      </c>
      <c r="C120" s="5" t="inlineStr">
        <is>
          <t>부드럽고 달콤한 복숭아 향</t>
        </is>
      </c>
      <c r="D120" s="5" t="inlineStr">
        <is>
          <t>fruity</t>
        </is>
      </c>
      <c r="E120" s="8">
        <f>COUNTIF(perfumes!$G$2:$I$213,"*"&amp;A120&amp;"*")</f>
        <v/>
      </c>
    </row>
    <row r="121">
      <c r="A121" s="5" t="inlineStr">
        <is>
          <t>Plum</t>
        </is>
      </c>
      <c r="B121" s="5" t="inlineStr">
        <is>
          <t>자두</t>
        </is>
      </c>
      <c r="C121" s="5" t="inlineStr">
        <is>
          <t>새콤하고 진한 과즙 향</t>
        </is>
      </c>
      <c r="D121" s="5" t="inlineStr">
        <is>
          <t>fruity</t>
        </is>
      </c>
      <c r="E121" s="8">
        <f>COUNTIF(perfumes!$G$2:$I$213,"*"&amp;A121&amp;"*")</f>
        <v/>
      </c>
    </row>
    <row r="122">
      <c r="A122" s="5" t="inlineStr">
        <is>
          <t>Rhubarb</t>
        </is>
      </c>
      <c r="B122" s="5" t="inlineStr">
        <is>
          <t>루바브</t>
        </is>
      </c>
      <c r="C122" s="5" t="inlineStr">
        <is>
          <t>새콤하고 풋풋한 줄기 과일 향</t>
        </is>
      </c>
      <c r="D122" s="5" t="inlineStr">
        <is>
          <t>fruity</t>
        </is>
      </c>
      <c r="E122" s="8">
        <f>COUNTIF(perfumes!$G$2:$I$213,"*"&amp;A122&amp;"*")</f>
        <v/>
      </c>
    </row>
    <row r="123">
      <c r="A123" s="5" t="inlineStr">
        <is>
          <t>Verbena</t>
        </is>
      </c>
      <c r="B123" s="5" t="inlineStr">
        <is>
          <t>버베나</t>
        </is>
      </c>
      <c r="C123" s="5" t="inlineStr">
        <is>
          <t>상쾌하고 은은한 레몬 풀 향</t>
        </is>
      </c>
      <c r="D123" s="5" t="inlineStr">
        <is>
          <t>citrus</t>
        </is>
      </c>
      <c r="E123" s="8">
        <f>COUNTIF(perfumes!$G$2:$I$213,"*"&amp;A123&amp;"*")</f>
        <v/>
      </c>
    </row>
    <row r="124">
      <c r="A124" s="5" t="inlineStr">
        <is>
          <t>Yuzu</t>
        </is>
      </c>
      <c r="B124" s="5" t="inlineStr">
        <is>
          <t>유자</t>
        </is>
      </c>
      <c r="C124" s="5" t="inlineStr">
        <is>
          <t>향긋하고 쌉쌀한 유자 껍질 향</t>
        </is>
      </c>
      <c r="D124" s="5" t="inlineStr">
        <is>
          <t>citrus</t>
        </is>
      </c>
      <c r="E124" s="8">
        <f>COUNTIF(perfumes!$G$2:$I$213,"*"&amp;A124&amp;"*")</f>
        <v/>
      </c>
    </row>
    <row r="125">
      <c r="A125" s="5" t="inlineStr">
        <is>
          <t>Gardenia</t>
        </is>
      </c>
      <c r="B125" s="5" t="inlineStr">
        <is>
          <t>가드니아</t>
        </is>
      </c>
      <c r="C125" s="5" t="inlineStr">
        <is>
          <t>크리미하고 진한 하얀 꽃 향</t>
        </is>
      </c>
      <c r="D125" s="5" t="inlineStr">
        <is>
          <t>whiteFloral</t>
        </is>
      </c>
      <c r="E125" s="8">
        <f>COUNTIF(perfumes!$G$2:$I$213,"*"&amp;A125&amp;"*")</f>
        <v/>
      </c>
    </row>
    <row r="126">
      <c r="A126" s="5" t="inlineStr">
        <is>
          <t>Pomegranate</t>
        </is>
      </c>
      <c r="B126" s="5" t="inlineStr">
        <is>
          <t>석류</t>
        </is>
      </c>
      <c r="C126" s="5" t="inlineStr">
        <is>
          <t>새콤달콤한 붉은 열매 향</t>
        </is>
      </c>
      <c r="D126" s="5" t="inlineStr">
        <is>
          <t>fruity</t>
        </is>
      </c>
      <c r="E126" s="8">
        <f>COUNTIF(perfumes!$G$2:$I$213,"*"&amp;A126&amp;"*")</f>
        <v/>
      </c>
    </row>
    <row r="127">
      <c r="A127" s="5" t="inlineStr">
        <is>
          <t>Chamomile</t>
        </is>
      </c>
      <c r="B127" s="5" t="inlineStr">
        <is>
          <t>캐모마일</t>
        </is>
      </c>
      <c r="C127" s="5" t="inlineStr">
        <is>
          <t>따뜻한 허브차처럼 포근하고 담백한 향</t>
        </is>
      </c>
      <c r="D127" s="5" t="inlineStr">
        <is>
          <t>aromatic</t>
        </is>
      </c>
      <c r="E127" s="8">
        <f>COUNTIF(perfumes!$G$2:$I$213,"*"&amp;A127&amp;"*")</f>
        <v/>
      </c>
    </row>
    <row r="128">
      <c r="A128" s="5" t="inlineStr">
        <is>
          <t>Mimosa</t>
        </is>
      </c>
      <c r="B128" s="5" t="inlineStr">
        <is>
          <t>미모사</t>
        </is>
      </c>
      <c r="C128" s="5" t="inlineStr">
        <is>
          <t>포근하고 보송한 노란 꽃 향</t>
        </is>
      </c>
      <c r="D128" s="5" t="inlineStr">
        <is>
          <t>floral</t>
        </is>
      </c>
      <c r="E128" s="8">
        <f>COUNTIF(perfumes!$G$2:$I$213,"*"&amp;A128&amp;"*")</f>
        <v/>
      </c>
    </row>
    <row r="129">
      <c r="A129" s="5" t="inlineStr">
        <is>
          <t>Davana</t>
        </is>
      </c>
      <c r="B129" s="5" t="inlineStr">
        <is>
          <t>다바나</t>
        </is>
      </c>
      <c r="C129" s="5" t="inlineStr">
        <is>
          <t>과일과 술을 닮은 달콤한 허브 향</t>
        </is>
      </c>
      <c r="D129" s="5" t="inlineStr">
        <is>
          <t>fruity</t>
        </is>
      </c>
      <c r="E129" s="8">
        <f>COUNTIF(perfumes!$G$2:$I$213,"*"&amp;A129&amp;"*")</f>
        <v/>
      </c>
    </row>
  </sheetData>
  <autoFilter ref="A1:E126"/>
  <dataValidations count="1">
    <dataValidation sqref="D2:D300" showDropDown="0" showInputMessage="0" showErrorMessage="0" allowBlank="1" type="list">
      <formula1>=options!$A$3:$A$16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26" customWidth="1" min="4" max="4"/>
    <col width="14" customWidth="1" min="5" max="5"/>
    <col width="3" customWidth="1" min="6" max="6"/>
    <col width="14" customWidth="1" min="7" max="7"/>
    <col width="12" customWidth="1" min="8" max="8"/>
    <col width="14" customWidth="1" min="9" max="9"/>
    <col width="3" customWidth="1" min="10" max="10"/>
    <col width="16" customWidth="1" min="11" max="11"/>
    <col width="16" customWidth="1" min="12" max="12"/>
  </cols>
  <sheetData>
    <row r="1">
      <c r="A1" s="1" t="inlineStr">
        <is>
          <t>향 계열 (family)</t>
        </is>
      </c>
      <c r="G1" s="1" t="inlineStr">
        <is>
          <t>분위기 칩 (moods)</t>
        </is>
      </c>
      <c r="I1" s="1" t="inlineStr">
        <is>
          <t>시트1 사용 수</t>
        </is>
      </c>
      <c r="K1" s="1" t="inlineStr">
        <is>
          <t>피하고 싶은 칩 (avoid_flags)</t>
        </is>
      </c>
    </row>
    <row r="2">
      <c r="A2" s="7" t="inlineStr">
        <is>
          <t>id</t>
        </is>
      </c>
      <c r="B2" s="7" t="inlineStr">
        <is>
          <t>이름</t>
        </is>
      </c>
      <c r="C2" s="7" t="inlineStr">
        <is>
          <t>시향 순서</t>
        </is>
      </c>
      <c r="D2" s="7" t="inlineStr">
        <is>
          <t>예시</t>
        </is>
      </c>
      <c r="E2" s="7" t="inlineStr">
        <is>
          <t>시트1 등록 수</t>
        </is>
      </c>
      <c r="G2" s="2" t="inlineStr">
        <is>
          <t>calm</t>
        </is>
      </c>
      <c r="H2" s="2" t="inlineStr">
        <is>
          <t>차분한</t>
        </is>
      </c>
      <c r="I2" s="2">
        <f>COUNTIF(perfumes!$M$2:$M$500,"*"&amp;G2&amp;"*")</f>
        <v/>
      </c>
      <c r="K2" s="2" t="inlineStr">
        <is>
          <t>tooSweet</t>
        </is>
      </c>
      <c r="L2" s="2" t="inlineStr">
        <is>
          <t>너무 단 향</t>
        </is>
      </c>
    </row>
    <row r="3">
      <c r="A3" s="8" t="inlineStr">
        <is>
          <t>citrus</t>
        </is>
      </c>
      <c r="B3" s="8" t="inlineStr">
        <is>
          <t>시트러스</t>
        </is>
      </c>
      <c r="C3" s="8" t="n">
        <v>1</v>
      </c>
      <c r="D3" s="8" t="inlineStr">
        <is>
          <t>레몬·베르가못·자몽</t>
        </is>
      </c>
      <c r="E3" s="8">
        <f>COUNTIF(perfumes!$K$2:$K$500,A3)</f>
        <v/>
      </c>
      <c r="G3" s="2" t="inlineStr">
        <is>
          <t>clean</t>
        </is>
      </c>
      <c r="H3" s="2" t="inlineStr">
        <is>
          <t>깨끗한</t>
        </is>
      </c>
      <c r="I3" s="2">
        <f>COUNTIF(perfumes!$M$2:$M$500,"*"&amp;G3&amp;"*")</f>
        <v/>
      </c>
      <c r="K3" s="2" t="inlineStr">
        <is>
          <t>tooStrong</t>
        </is>
      </c>
      <c r="L3" s="2" t="inlineStr">
        <is>
          <t>너무 진한 향</t>
        </is>
      </c>
    </row>
    <row r="4">
      <c r="A4" s="8" t="inlineStr">
        <is>
          <t>fruity</t>
        </is>
      </c>
      <c r="B4" s="8" t="inlineStr">
        <is>
          <t>프루티</t>
        </is>
      </c>
      <c r="C4" s="8" t="n">
        <v>2</v>
      </c>
      <c r="D4" s="8" t="inlineStr">
        <is>
          <t>복숭아·배·베리</t>
        </is>
      </c>
      <c r="E4" s="8">
        <f>COUNTIF(perfumes!$K$2:$K$500,A4)</f>
        <v/>
      </c>
      <c r="G4" s="2" t="inlineStr">
        <is>
          <t>cool</t>
        </is>
      </c>
      <c r="H4" s="2" t="inlineStr">
        <is>
          <t>시원한</t>
        </is>
      </c>
      <c r="I4" s="2">
        <f>COUNTIF(perfumes!$M$2:$M$500,"*"&amp;G4&amp;"*")</f>
        <v/>
      </c>
      <c r="K4" s="2" t="inlineStr">
        <is>
          <t>headache</t>
        </is>
      </c>
      <c r="L4" s="2" t="inlineStr">
        <is>
          <t>머리 아픈 향</t>
        </is>
      </c>
    </row>
    <row r="5">
      <c r="A5" s="8" t="inlineStr">
        <is>
          <t>aqua</t>
        </is>
      </c>
      <c r="B5" s="8" t="inlineStr">
        <is>
          <t>아쿠아·오존</t>
        </is>
      </c>
      <c r="C5" s="8" t="n">
        <v>3</v>
      </c>
      <c r="D5" s="8" t="inlineStr">
        <is>
          <t>바다·빗물·바람</t>
        </is>
      </c>
      <c r="E5" s="8">
        <f>COUNTIF(perfumes!$K$2:$K$500,A5)</f>
        <v/>
      </c>
      <c r="G5" s="2" t="inlineStr">
        <is>
          <t>cozy</t>
        </is>
      </c>
      <c r="H5" s="2" t="inlineStr">
        <is>
          <t>포근한</t>
        </is>
      </c>
      <c r="I5" s="2">
        <f>COUNTIF(perfumes!$M$2:$M$500,"*"&amp;G5&amp;"*")</f>
        <v/>
      </c>
      <c r="K5" s="2" t="inlineStr">
        <is>
          <t>heavyFloral</t>
        </is>
      </c>
      <c r="L5" s="2" t="inlineStr">
        <is>
          <t>꽃향이 강한 향</t>
        </is>
      </c>
    </row>
    <row r="6">
      <c r="A6" s="8" t="inlineStr">
        <is>
          <t>green</t>
        </is>
      </c>
      <c r="B6" s="8" t="inlineStr">
        <is>
          <t>그린</t>
        </is>
      </c>
      <c r="C6" s="8" t="n">
        <v>4</v>
      </c>
      <c r="D6" s="8" t="inlineStr">
        <is>
          <t>풀잎·녹차·무화과잎</t>
        </is>
      </c>
      <c r="E6" s="8">
        <f>COUNTIF(perfumes!$K$2:$K$500,A6)</f>
        <v/>
      </c>
      <c r="G6" s="2" t="inlineStr">
        <is>
          <t>fresh</t>
        </is>
      </c>
      <c r="H6" s="2" t="inlineStr">
        <is>
          <t>싱그러운</t>
        </is>
      </c>
      <c r="I6" s="2">
        <f>COUNTIF(perfumes!$M$2:$M$500,"*"&amp;G6&amp;"*")</f>
        <v/>
      </c>
      <c r="K6" s="2" t="inlineStr">
        <is>
          <t>smoky</t>
        </is>
      </c>
      <c r="L6" s="2" t="inlineStr">
        <is>
          <t>스모키한 향</t>
        </is>
      </c>
    </row>
    <row r="7">
      <c r="A7" s="8" t="inlineStr">
        <is>
          <t>aromatic</t>
        </is>
      </c>
      <c r="B7" s="8" t="inlineStr">
        <is>
          <t>아로마틱</t>
        </is>
      </c>
      <c r="C7" s="8" t="n">
        <v>5</v>
      </c>
      <c r="D7" s="8" t="inlineStr">
        <is>
          <t>라벤더·로즈마리·민트</t>
        </is>
      </c>
      <c r="E7" s="8">
        <f>COUNTIF(perfumes!$K$2:$K$500,A7)</f>
        <v/>
      </c>
      <c r="G7" s="2" t="inlineStr">
        <is>
          <t>zesty</t>
        </is>
      </c>
      <c r="H7" s="2" t="inlineStr">
        <is>
          <t>상큼한</t>
        </is>
      </c>
      <c r="I7" s="2">
        <f>COUNTIF(perfumes!$M$2:$M$500,"*"&amp;G7&amp;"*")</f>
        <v/>
      </c>
      <c r="K7" s="2" t="inlineStr">
        <is>
          <t>powdery</t>
        </is>
      </c>
      <c r="L7" s="2" t="inlineStr">
        <is>
          <t>화장품 파우더 향</t>
        </is>
      </c>
    </row>
    <row r="8">
      <c r="A8" s="8" t="inlineStr">
        <is>
          <t>floral</t>
        </is>
      </c>
      <c r="B8" s="8" t="inlineStr">
        <is>
          <t>플로럴</t>
        </is>
      </c>
      <c r="C8" s="8" t="n">
        <v>6</v>
      </c>
      <c r="D8" s="8" t="inlineStr">
        <is>
          <t>장미·작약·은방울꽃</t>
        </is>
      </c>
      <c r="E8" s="8">
        <f>COUNTIF(perfumes!$K$2:$K$500,A8)</f>
        <v/>
      </c>
      <c r="G8" s="2" t="inlineStr">
        <is>
          <t>warm</t>
        </is>
      </c>
      <c r="H8" s="2" t="inlineStr">
        <is>
          <t>따뜻한</t>
        </is>
      </c>
      <c r="I8" s="2">
        <f>COUNTIF(perfumes!$M$2:$M$500,"*"&amp;G8&amp;"*")</f>
        <v/>
      </c>
      <c r="K8" t="inlineStr">
        <is>
          <t>spicy</t>
        </is>
      </c>
      <c r="L8" t="inlineStr">
        <is>
          <t>알싸한 향</t>
        </is>
      </c>
    </row>
    <row r="9">
      <c r="A9" s="8" t="inlineStr">
        <is>
          <t>whiteFloral</t>
        </is>
      </c>
      <c r="B9" s="8" t="inlineStr">
        <is>
          <t>화이트 플로럴</t>
        </is>
      </c>
      <c r="C9" s="8" t="n">
        <v>7</v>
      </c>
      <c r="D9" s="8" t="inlineStr">
        <is>
          <t>자스민·튜베로즈·오렌지꽃</t>
        </is>
      </c>
      <c r="E9" s="8">
        <f>COUNTIF(perfumes!$K$2:$K$500,A9)</f>
        <v/>
      </c>
      <c r="G9" s="2" t="inlineStr">
        <is>
          <t>sweet</t>
        </is>
      </c>
      <c r="H9" s="2" t="inlineStr">
        <is>
          <t>달콤한</t>
        </is>
      </c>
      <c r="I9" s="2">
        <f>COUNTIF(perfumes!$M$2:$M$500,"*"&amp;G9&amp;"*")</f>
        <v/>
      </c>
      <c r="K9" t="inlineStr">
        <is>
          <t>soapy</t>
        </is>
      </c>
      <c r="L9" t="inlineStr">
        <is>
          <t>비누·세제 같은 향</t>
        </is>
      </c>
    </row>
    <row r="10">
      <c r="A10" s="8" t="inlineStr">
        <is>
          <t>powdery</t>
        </is>
      </c>
      <c r="B10" s="8" t="inlineStr">
        <is>
          <t>파우더리</t>
        </is>
      </c>
      <c r="C10" s="8" t="n">
        <v>8</v>
      </c>
      <c r="D10" s="8" t="inlineStr">
        <is>
          <t>아이리스·바이올렛</t>
        </is>
      </c>
      <c r="E10" s="8">
        <f>COUNTIF(perfumes!$K$2:$K$500,A10)</f>
        <v/>
      </c>
      <c r="G10" s="2" t="inlineStr">
        <is>
          <t>elegant</t>
        </is>
      </c>
      <c r="H10" s="2" t="inlineStr">
        <is>
          <t>우아한</t>
        </is>
      </c>
      <c r="I10" s="2">
        <f>COUNTIF(perfumes!$M$2:$M$500,"*"&amp;G10&amp;"*")</f>
        <v/>
      </c>
      <c r="K10" s="1" t="inlineStr">
        <is>
          <t>intensity</t>
        </is>
      </c>
    </row>
    <row r="11">
      <c r="A11" s="8" t="inlineStr">
        <is>
          <t>musk</t>
        </is>
      </c>
      <c r="B11" s="8" t="inlineStr">
        <is>
          <t>머스크·클린</t>
        </is>
      </c>
      <c r="C11" s="8" t="n">
        <v>9</v>
      </c>
      <c r="D11" s="8" t="inlineStr">
        <is>
          <t>비누·갓 빤 빨래·살결</t>
        </is>
      </c>
      <c r="E11" s="8">
        <f>COUNTIF(perfumes!$K$2:$K$500,A11)</f>
        <v/>
      </c>
      <c r="G11" s="2" t="inlineStr">
        <is>
          <t>deep</t>
        </is>
      </c>
      <c r="H11" s="2" t="inlineStr">
        <is>
          <t>묵직한</t>
        </is>
      </c>
      <c r="I11" s="2">
        <f>COUNTIF(perfumes!$M$2:$M$500,"*"&amp;G11&amp;"*")</f>
        <v/>
      </c>
      <c r="K11" s="2" t="inlineStr">
        <is>
          <t>light</t>
        </is>
      </c>
      <c r="L11" s="2" t="inlineStr">
        <is>
          <t>가벼움</t>
        </is>
      </c>
    </row>
    <row r="12">
      <c r="A12" s="8" t="inlineStr">
        <is>
          <t>spicy</t>
        </is>
      </c>
      <c r="B12" s="8" t="inlineStr">
        <is>
          <t>스파이시</t>
        </is>
      </c>
      <c r="C12" s="8" t="n">
        <v>10</v>
      </c>
      <c r="D12" s="8" t="inlineStr">
        <is>
          <t>핑크페퍼·카다멈·시나몬</t>
        </is>
      </c>
      <c r="E12" s="8">
        <f>COUNTIF(perfumes!$K$2:$K$500,A12)</f>
        <v/>
      </c>
      <c r="G12" s="2" t="inlineStr">
        <is>
          <t>soft</t>
        </is>
      </c>
      <c r="H12" s="2" t="inlineStr">
        <is>
          <t>보송한</t>
        </is>
      </c>
      <c r="I12" s="2">
        <f>COUNTIF(perfumes!$M$2:$M$500,"*"&amp;G12&amp;"*")</f>
        <v/>
      </c>
      <c r="K12" s="2" t="inlineStr">
        <is>
          <t>medium</t>
        </is>
      </c>
      <c r="L12" s="2" t="inlineStr">
        <is>
          <t>보통</t>
        </is>
      </c>
    </row>
    <row r="13">
      <c r="A13" s="8" t="inlineStr">
        <is>
          <t>woody</t>
        </is>
      </c>
      <c r="B13" s="8" t="inlineStr">
        <is>
          <t>우디</t>
        </is>
      </c>
      <c r="C13" s="8" t="n">
        <v>11</v>
      </c>
      <c r="D13" s="8" t="inlineStr">
        <is>
          <t>시더·샌달우드·베티버</t>
        </is>
      </c>
      <c r="E13" s="8">
        <f>COUNTIF(perfumes!$K$2:$K$500,A13)</f>
        <v/>
      </c>
      <c r="G13" s="2" t="inlineStr">
        <is>
          <t>lovely</t>
        </is>
      </c>
      <c r="H13" s="2" t="inlineStr">
        <is>
          <t>사랑스러운</t>
        </is>
      </c>
      <c r="I13" s="2">
        <f>COUNTIF(perfumes!$M$2:$M$500,"*"&amp;G13&amp;"*")</f>
        <v/>
      </c>
      <c r="K13" s="2" t="inlineStr">
        <is>
          <t>strong</t>
        </is>
      </c>
      <c r="L13" s="2" t="inlineStr">
        <is>
          <t>진함</t>
        </is>
      </c>
    </row>
    <row r="14">
      <c r="A14" s="8" t="inlineStr">
        <is>
          <t>amber</t>
        </is>
      </c>
      <c r="B14" s="8" t="inlineStr">
        <is>
          <t>앰버</t>
        </is>
      </c>
      <c r="C14" s="8" t="n">
        <v>12</v>
      </c>
      <c r="D14" s="8" t="inlineStr">
        <is>
          <t>앰버·레진</t>
        </is>
      </c>
      <c r="E14" s="8">
        <f>COUNTIF(perfumes!$K$2:$K$500,A14)</f>
        <v/>
      </c>
      <c r="G14" s="2" t="inlineStr">
        <is>
          <t>sensual</t>
        </is>
      </c>
      <c r="H14" s="2" t="inlineStr">
        <is>
          <t>매혹적인</t>
        </is>
      </c>
      <c r="I14" s="2">
        <f>COUNTIF(perfumes!$M$2:$M$500,"*"&amp;G14&amp;"*")</f>
        <v/>
      </c>
    </row>
    <row r="15">
      <c r="A15" s="8" t="inlineStr">
        <is>
          <t>gourmand</t>
        </is>
      </c>
      <c r="B15" s="8" t="inlineStr">
        <is>
          <t>구르망</t>
        </is>
      </c>
      <c r="C15" s="8" t="n">
        <v>13</v>
      </c>
      <c r="D15" s="8" t="inlineStr">
        <is>
          <t>바닐라·카라멜·꿀</t>
        </is>
      </c>
      <c r="E15" s="8">
        <f>COUNTIF(perfumes!$K$2:$K$500,A15)</f>
        <v/>
      </c>
      <c r="K15" s="1" t="inlineStr">
        <is>
          <t>polarizing</t>
        </is>
      </c>
    </row>
    <row r="16">
      <c r="A16" s="8" t="inlineStr">
        <is>
          <t>leather</t>
        </is>
      </c>
      <c r="B16" s="8" t="inlineStr">
        <is>
          <t>레더·스모키</t>
        </is>
      </c>
      <c r="C16" s="8" t="n">
        <v>14</v>
      </c>
      <c r="D16" s="8" t="inlineStr">
        <is>
          <t>가죽·타바코·인센스</t>
        </is>
      </c>
      <c r="E16" s="8">
        <f>COUNTIF(perfumes!$K$2:$K$500,A16)</f>
        <v/>
      </c>
      <c r="K16" s="2" t="inlineStr">
        <is>
          <t>low</t>
        </is>
      </c>
      <c r="L16" s="2" t="inlineStr">
        <is>
          <t>호불호 적음</t>
        </is>
      </c>
    </row>
    <row r="17">
      <c r="A17" s="9" t="inlineStr">
        <is>
          <t>합계</t>
        </is>
      </c>
      <c r="E17" s="9">
        <f>SUM(E3:E16)</f>
        <v/>
      </c>
      <c r="K17" s="2" t="inlineStr">
        <is>
          <t>mid</t>
        </is>
      </c>
      <c r="L17" s="2" t="inlineStr">
        <is>
          <t>보통</t>
        </is>
      </c>
    </row>
    <row r="18">
      <c r="K18" s="2" t="inlineStr">
        <is>
          <t>high</t>
        </is>
      </c>
      <c r="L18" s="2" t="inlineStr">
        <is>
          <t>호불호 있음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22" customWidth="1" min="3" max="3"/>
    <col width="26" customWidth="1" min="4" max="4"/>
    <col width="60" customWidth="1" min="5" max="5"/>
    <col width="70" customWidth="1" min="6" max="6"/>
  </cols>
  <sheetData>
    <row r="1">
      <c r="A1" s="7" t="inlineStr">
        <is>
          <t>brand</t>
        </is>
      </c>
      <c r="B1" s="7" t="inlineStr">
        <is>
          <t>신뢰도</t>
        </is>
      </c>
      <c r="C1" s="7" t="inlineStr">
        <is>
          <t>앱에 표시</t>
        </is>
      </c>
      <c r="D1" s="7" t="inlineStr">
        <is>
          <t>후보 채널(조사 결과)</t>
        </is>
      </c>
      <c r="E1" s="7" t="inlineStr">
        <is>
          <t>근거 URL</t>
        </is>
      </c>
      <c r="F1" s="7" t="inlineStr">
        <is>
          <t>조사 메모</t>
        </is>
      </c>
    </row>
    <row r="2">
      <c r="A2" s="4" t="inlineStr">
        <is>
          <t>Acqua di Parma</t>
        </is>
      </c>
      <c r="B2" s="4" t="inlineStr">
        <is>
          <t>낮음</t>
        </is>
      </c>
      <c r="C2" s="4" t="inlineStr">
        <is>
          <t>표시 안 함</t>
        </is>
      </c>
      <c r="D2" s="4" t="inlineStr">
        <is>
          <t>면세점</t>
        </is>
      </c>
      <c r="E2" s="4" t="inlineStr">
        <is>
          <t>https://www.acquadiparma.com/default/en/authorised-retailers.html</t>
        </is>
      </c>
      <c r="F2" s="4" t="inlineStr">
        <is>
          <t>Official page itself 403 on fetch; seen via search snippet. Dept-store boutique (Lotte Jamsil Avenuel) only seen in news articles (not allowed source), so not recorded.</t>
        </is>
      </c>
    </row>
    <row r="3">
      <c r="A3" s="4" t="inlineStr">
        <is>
          <t>Aesop</t>
        </is>
      </c>
      <c r="B3" s="4" t="inlineStr">
        <is>
          <t>높음</t>
        </is>
      </c>
      <c r="C3" s="4" t="inlineStr">
        <is>
          <t>표시</t>
        </is>
      </c>
      <c r="D3" s="4" t="inlineStr">
        <is>
          <t>브랜드 매장</t>
        </is>
      </c>
      <c r="E3" s="4" t="inlineStr">
        <is>
          <t>https://www.aesop.com/us/r/aesop-garosu-gil</t>
        </is>
      </c>
      <c r="F3" s="4" t="inlineStr">
        <is>
          <t>Own-brand stores verified via aesop.com search results; dept-store counters not verified.</t>
        </is>
      </c>
    </row>
    <row r="4">
      <c r="A4" s="4" t="inlineStr">
        <is>
          <t>Annick Goutal</t>
        </is>
      </c>
      <c r="B4" s="4" t="inlineStr">
        <is>
          <t>낮음</t>
        </is>
      </c>
      <c r="C4" s="4" t="inlineStr">
        <is>
          <t>표시 안 함</t>
        </is>
      </c>
      <c r="D4" s="4" t="inlineStr">
        <is>
          <t>백화점</t>
        </is>
      </c>
      <c r="E4" s="4" t="inlineStr">
        <is>
          <t>https://www.apgroup.com/int/ko/news/brand-2016-04-250.html</t>
        </is>
      </c>
      <c r="F4" s="4" t="inlineStr">
        <is>
          <t>Source is Amorepacific (brand owner) 2016 press page; current status of stores not re-verified.</t>
        </is>
      </c>
    </row>
    <row r="5">
      <c r="A5" s="4" t="inlineStr">
        <is>
          <t>Atelier Cologne</t>
        </is>
      </c>
      <c r="B5" s="4" t="inlineStr">
        <is>
          <t>미확인</t>
        </is>
      </c>
      <c r="C5" s="4" t="inlineStr">
        <is>
          <t>표시 안 함</t>
        </is>
      </c>
      <c r="D5" s="4" t="inlineStr">
        <is>
          <t>-</t>
        </is>
      </c>
      <c r="E5" s="4" t="inlineStr">
        <is>
          <t>-</t>
        </is>
      </c>
      <c r="F5" s="4" t="inlineStr">
        <is>
          <t>Only news/magazine sources (Lotte Jamsil boutique, re-entered Korea 2026) seen; no allowed official source verified.</t>
        </is>
      </c>
    </row>
    <row r="6">
      <c r="A6" s="4" t="inlineStr">
        <is>
          <t>Burberry</t>
        </is>
      </c>
      <c r="B6" s="4" t="inlineStr">
        <is>
          <t>미확인</t>
        </is>
      </c>
      <c r="C6" s="4" t="inlineStr">
        <is>
          <t>표시 안 함</t>
        </is>
      </c>
      <c r="D6" s="4" t="inlineStr">
        <is>
          <t>-</t>
        </is>
      </c>
      <c r="E6" s="4" t="inlineStr">
        <is>
          <t>-</t>
        </is>
      </c>
      <c r="F6" s="4" t="inlineStr">
        <is>
          <t>stores.burberry.com Hyundai Seoul page lists no beauty/fragrance service; Beauty Box COEX only from non-allowed article. Unverified.</t>
        </is>
      </c>
    </row>
    <row r="7">
      <c r="A7" s="4" t="inlineStr">
        <is>
          <t>Bvlgari</t>
        </is>
      </c>
      <c r="B7" s="4" t="inlineStr">
        <is>
          <t>보통</t>
        </is>
      </c>
      <c r="C7" s="4" t="inlineStr">
        <is>
          <t>표시</t>
        </is>
      </c>
      <c r="D7" s="4" t="inlineStr">
        <is>
          <t>백화점</t>
        </is>
      </c>
      <c r="E7" s="4" t="inlineStr">
        <is>
          <t>https://www.bulgari.com/ko-kr/storelocator/대한민국/gyeonggi-do/gyeonggido/galleria-gwanggyo-store</t>
        </is>
      </c>
      <c r="F7" s="4" t="inlineStr">
        <is>
          <t>Store-locator pages seen via search snippets only (fetch 403). Some are jewelry/parfums boutiques inside dept stores.</t>
        </is>
      </c>
    </row>
    <row r="8">
      <c r="A8" s="4" t="inlineStr">
        <is>
          <t>Byredo</t>
        </is>
      </c>
      <c r="B8" s="4" t="inlineStr">
        <is>
          <t>미확인</t>
        </is>
      </c>
      <c r="C8" s="4" t="inlineStr">
        <is>
          <t>표시 안 함</t>
        </is>
      </c>
      <c r="D8" s="4" t="inlineStr">
        <is>
          <t>-</t>
        </is>
      </c>
      <c r="E8" s="4" t="inlineStr">
        <is>
          <t>-</t>
        </is>
      </c>
      <c r="F8" s="4" t="inlineStr">
        <is>
          <t>Flagship stores (Sinsa, Lotte World Mall) only in news sources (fashionbiz, insideretail), not allowed; official site fetch 404.</t>
        </is>
      </c>
    </row>
    <row r="9">
      <c r="A9" s="4" t="inlineStr">
        <is>
          <t>Calvin Klein</t>
        </is>
      </c>
      <c r="B9" s="4" t="inlineStr">
        <is>
          <t>미확인</t>
        </is>
      </c>
      <c r="C9" s="4" t="inlineStr">
        <is>
          <t>표시 안 함</t>
        </is>
      </c>
      <c r="D9" s="4" t="inlineStr">
        <is>
          <t>-</t>
        </is>
      </c>
      <c r="E9" s="4" t="inlineStr">
        <is>
          <t>-</t>
        </is>
      </c>
      <c r="F9" s="4" t="inlineStr">
        <is>
          <t>No oliveyoung.co.kr or official evidence found; only marketplace results.</t>
        </is>
      </c>
    </row>
    <row r="10">
      <c r="A10" s="4" t="inlineStr">
        <is>
          <t>Carolina Herrera</t>
        </is>
      </c>
      <c r="B10" s="4" t="inlineStr">
        <is>
          <t>낮음</t>
        </is>
      </c>
      <c r="C10" s="4" t="inlineStr">
        <is>
          <t>표시 안 함</t>
        </is>
      </c>
      <c r="D10" s="4" t="inlineStr">
        <is>
          <t>백화점</t>
        </is>
      </c>
      <c r="E10" s="4" t="inlineStr">
        <is>
          <t>https://m-shinsegaemall.ssg.com/mall/disp/brandMain?brandId=3000023035</t>
        </is>
      </c>
      <c r="F10" s="4" t="inlineStr">
        <is>
          <t>Weak: online mall brand page only; offline counter not verified.</t>
        </is>
      </c>
    </row>
    <row r="11">
      <c r="A11" s="4" t="inlineStr">
        <is>
          <t>Chanel</t>
        </is>
      </c>
      <c r="B11" s="4" t="inlineStr">
        <is>
          <t>보통</t>
        </is>
      </c>
      <c r="C11" s="4" t="inlineStr">
        <is>
          <t>표시</t>
        </is>
      </c>
      <c r="D11" s="4" t="inlineStr">
        <is>
          <t>백화점</t>
        </is>
      </c>
      <c r="E11" s="4" t="inlineStr">
        <is>
          <t>https://www.chanel.com/kr/storelocator/store/shinsegae-myeongdong-chanel-fragrance-beauty-counter-16719/</t>
        </is>
      </c>
      <c r="F11" s="4" t="inlineStr">
        <is>
          <t>Fragrance &amp; beauty counters in dept stores; search summary also mentioned duty-free counters (Gimpo, World Tower) but no specific URL seen, so 면세점 not recorded.</t>
        </is>
      </c>
    </row>
    <row r="12">
      <c r="A12" s="4" t="inlineStr">
        <is>
          <t>Chloé</t>
        </is>
      </c>
      <c r="B12" s="4" t="inlineStr">
        <is>
          <t>미확인</t>
        </is>
      </c>
      <c r="C12" s="4" t="inlineStr">
        <is>
          <t>표시 안 함</t>
        </is>
      </c>
      <c r="D12" s="4" t="inlineStr">
        <is>
          <t>-</t>
        </is>
      </c>
      <c r="E12" s="4" t="inlineStr">
        <is>
          <t>-</t>
        </is>
      </c>
      <c r="F12" s="4" t="inlineStr">
        <is>
          <t>No allowed source verified.</t>
        </is>
      </c>
    </row>
    <row r="13">
      <c r="A13" s="4" t="inlineStr">
        <is>
          <t>Creed</t>
        </is>
      </c>
      <c r="B13" s="4" t="inlineStr">
        <is>
          <t>낮음</t>
        </is>
      </c>
      <c r="C13" s="4" t="inlineStr">
        <is>
          <t>표시 안 함</t>
        </is>
      </c>
      <c r="D13" s="4" t="inlineStr">
        <is>
          <t>면세점</t>
        </is>
      </c>
      <c r="E13" s="4" t="inlineStr">
        <is>
          <t>https://www.shilladfs.com/estore/kr/en/p/3390883</t>
        </is>
      </c>
      <c r="F13" s="4" t="inlineStr">
        <is>
          <t>Shilla Duty Free online store listing (pages 403 on fetch); online listing, store counter implied but not confirmed.</t>
        </is>
      </c>
    </row>
    <row r="14">
      <c r="A14" s="4" t="inlineStr">
        <is>
          <t>Davidoff</t>
        </is>
      </c>
      <c r="B14" s="4" t="inlineStr">
        <is>
          <t>미확인</t>
        </is>
      </c>
      <c r="C14" s="4" t="inlineStr">
        <is>
          <t>표시 안 함</t>
        </is>
      </c>
      <c r="D14" s="4" t="inlineStr">
        <is>
          <t>-</t>
        </is>
      </c>
      <c r="E14" s="4" t="inlineStr">
        <is>
          <t>-</t>
        </is>
      </c>
      <c r="F14" s="4" t="inlineStr">
        <is>
          <t>No allowed source verified.</t>
        </is>
      </c>
    </row>
    <row r="15">
      <c r="A15" s="4" t="inlineStr">
        <is>
          <t>Dior</t>
        </is>
      </c>
      <c r="B15" s="4" t="inlineStr">
        <is>
          <t>보통</t>
        </is>
      </c>
      <c r="C15" s="4" t="inlineStr">
        <is>
          <t>표시</t>
        </is>
      </c>
      <c r="D15" s="4" t="inlineStr">
        <is>
          <t>면세점, 백화점</t>
        </is>
      </c>
      <c r="E15" s="4" t="inlineStr">
        <is>
          <t>https://m.lotteshopping.com/search/searchResult?cstrCd=0002&amp;searchTerm=%EB%94%94%EC%98%AC
https://m.shilladfs.com/estore/kr/ko/Skin-Care/%eb%94%94%ec%98%ac/Womens-Fragrance/Miss-Dior/c/D711
https://www.ssgdfs.com/kr/dispctg/brand/dior</t>
        </is>
      </c>
      <c r="F15" s="4" t="inlineStr">
        <is>
          <t>Snippet-level evidence only. Dior store finder (dior.com/en_us/beauty/find-your-dior-store) exists but could not be fetched.</t>
        </is>
      </c>
    </row>
    <row r="16">
      <c r="A16" s="4" t="inlineStr">
        <is>
          <t>Diptyque</t>
        </is>
      </c>
      <c r="B16" s="4" t="inlineStr">
        <is>
          <t>높음</t>
        </is>
      </c>
      <c r="C16" s="4" t="inlineStr">
        <is>
          <t>표시</t>
        </is>
      </c>
      <c r="D16" s="4" t="inlineStr">
        <is>
          <t>면세점, 브랜드 매장</t>
        </is>
      </c>
      <c r="E16" s="4" t="inlineStr">
        <is>
          <t>https://m.shilladfs.com/estore/kr/en/p/5623016
https://stores.diptyqueparis.com/en_eu/diptyque-garosugil</t>
        </is>
      </c>
      <c r="F16" s="4" t="inlineStr">
        <is>
          <t>Official store locator lists 2 boutiques (Garosugil, Seongsu). Lotte Dept Store search snippet (m.lotteshopping.com cstrCd=0022) showed 딥티크 in a brand list but department-store channel not firmly verified, so omitted.</t>
        </is>
      </c>
    </row>
    <row r="17">
      <c r="A17" s="4" t="inlineStr">
        <is>
          <t>Dolce &amp; Gabbana</t>
        </is>
      </c>
      <c r="B17" s="4" t="inlineStr">
        <is>
          <t>보통</t>
        </is>
      </c>
      <c r="C17" s="4" t="inlineStr">
        <is>
          <t>표시</t>
        </is>
      </c>
      <c r="D17" s="4" t="inlineStr">
        <is>
          <t>면세점, 올리브영</t>
        </is>
      </c>
      <c r="E17" s="4" t="inlineStr">
        <is>
          <t>https://m.oliveyoung.co.kr/m/mtn/brand/A000130
https://www.etoday.co.kr/news/view/2315438</t>
        </is>
      </c>
      <c r="F17" s="4" t="inlineStr">
        <is>
          <t>Olive Young verified. Duty-free is from a news article only (weak), so excluded from the channel list... see evidence; channels list kept to 올리브영.</t>
        </is>
      </c>
    </row>
    <row r="18">
      <c r="A18" s="4" t="inlineStr">
        <is>
          <t>Escentric Molecules</t>
        </is>
      </c>
      <c r="B18" s="4" t="inlineStr">
        <is>
          <t>낮음</t>
        </is>
      </c>
      <c r="C18" s="4" t="inlineStr">
        <is>
          <t>표시 안 함</t>
        </is>
      </c>
      <c r="D18" s="4" t="inlineStr">
        <is>
          <t>면세점</t>
        </is>
      </c>
      <c r="E18" s="4" t="inlineStr">
        <is>
          <t>https://m.shilladfs.com/estore/kr/en/b/escentricmolecules</t>
        </is>
      </c>
      <c r="F18" s="4" t="inlineStr">
        <is>
          <t>Only duty free (online brand page) verified; no offline store evidence found.</t>
        </is>
      </c>
    </row>
    <row r="19">
      <c r="A19" s="4" t="inlineStr">
        <is>
          <t>Ex Nihilo</t>
        </is>
      </c>
      <c r="B19" s="4" t="inlineStr">
        <is>
          <t>낮음</t>
        </is>
      </c>
      <c r="C19" s="4" t="inlineStr">
        <is>
          <t>표시 안 함</t>
        </is>
      </c>
      <c r="D19" s="4" t="inlineStr">
        <is>
          <t>면세점</t>
        </is>
      </c>
      <c r="E19" s="4" t="inlineStr">
        <is>
          <t>https://m.shilladfs.com/estore/kr/ko/b/exnihilo</t>
        </is>
      </c>
      <c r="F19" s="4" t="inlineStr">
        <is>
          <t>News snippets (hankyung, heraldk) indicate Shinsegae/Lotte/Hyundai department store counters but those are not allowed source types, so 백화점 left out.</t>
        </is>
      </c>
    </row>
    <row r="20">
      <c r="A20" s="4" t="inlineStr">
        <is>
          <t>Frédéric Malle</t>
        </is>
      </c>
      <c r="B20" s="4" t="inlineStr">
        <is>
          <t>낮음</t>
        </is>
      </c>
      <c r="C20" s="4" t="inlineStr">
        <is>
          <t>표시 안 함</t>
        </is>
      </c>
      <c r="D20" s="4" t="inlineStr">
        <is>
          <t>면세점</t>
        </is>
      </c>
      <c r="E20" s="4" t="inlineStr">
        <is>
          <t>https://m.shilladfs.com/estore/kr/ko/b/fredericmalle</t>
        </is>
      </c>
      <c r="F20" s="4" t="inlineStr">
        <is>
          <t>Official site fredericmalle.com/kr appeared in results but store list not fetched; Vogue Korea (not allowed) mentions an Itaewon flagship, so 브랜드 매장 unverified.</t>
        </is>
      </c>
    </row>
    <row r="21">
      <c r="A21" s="4" t="inlineStr">
        <is>
          <t>Giorgio Armani</t>
        </is>
      </c>
      <c r="B21" s="4" t="inlineStr">
        <is>
          <t>낮음</t>
        </is>
      </c>
      <c r="C21" s="4" t="inlineStr">
        <is>
          <t>표시 안 함</t>
        </is>
      </c>
      <c r="D21" s="4" t="inlineStr">
        <is>
          <t>면세점</t>
        </is>
      </c>
      <c r="E21" s="4" t="inlineStr">
        <is>
          <t>https://www.shilladfs.com/estore/kr/ko/b/giorgioarmani</t>
        </is>
      </c>
      <c r="F21" s="4" t="inlineStr">
        <is>
          <t>Department store (Shinsegae Gangnam Armani Beauty Store) only from a news article, so not recorded.</t>
        </is>
      </c>
    </row>
    <row r="22">
      <c r="A22" s="4" t="inlineStr">
        <is>
          <t>Gucci</t>
        </is>
      </c>
      <c r="B22" s="4" t="inlineStr">
        <is>
          <t>보통</t>
        </is>
      </c>
      <c r="C22" s="4" t="inlineStr">
        <is>
          <t>표시</t>
        </is>
      </c>
      <c r="D22" s="4" t="inlineStr">
        <is>
          <t>면세점, 백화점</t>
        </is>
      </c>
      <c r="E22" s="4" t="inlineStr">
        <is>
          <t>https://m.lotteshopping.com/store/brand/detail?cstrCd=0341&amp;brndCd=0044501&amp;cstrShopNo=SHP00000000000064859&amp;flrCd=01
https://m.shilladfs.com/estore/kr/ko/b/guccifragrance</t>
        </is>
      </c>
      <c r="F22" s="4" t="inlineStr">
        <is>
          <t>Snippet-level; Gucci Beauty counter in Lotte Dept Store inferred from brand-detail page title.</t>
        </is>
      </c>
    </row>
    <row r="23">
      <c r="A23" s="4" t="inlineStr">
        <is>
          <t>Guerlain</t>
        </is>
      </c>
      <c r="B23" s="4" t="inlineStr">
        <is>
          <t>보통</t>
        </is>
      </c>
      <c r="C23" s="4" t="inlineStr">
        <is>
          <t>표시</t>
        </is>
      </c>
      <c r="D23" s="4" t="inlineStr">
        <is>
          <t>백화점</t>
        </is>
      </c>
      <c r="E23" s="4" t="inlineStr">
        <is>
          <t>https://www.guerlain.com/kr/ko-kr/c/kr-guerlain-services.html</t>
        </is>
      </c>
      <c r="F23" s="4" t="inlineStr">
        <is>
          <t>Fetch was 403; relied on search snippet of official page.</t>
        </is>
      </c>
    </row>
    <row r="24">
      <c r="A24" s="4" t="inlineStr">
        <is>
          <t>Hermès</t>
        </is>
      </c>
      <c r="B24" s="4" t="inlineStr">
        <is>
          <t>낮음</t>
        </is>
      </c>
      <c r="C24" s="4" t="inlineStr">
        <is>
          <t>표시 안 함</t>
        </is>
      </c>
      <c r="D24" s="4" t="inlineStr">
        <is>
          <t>면세점</t>
        </is>
      </c>
      <c r="E24" s="4" t="inlineStr">
        <is>
          <t>https://m.shilladfs.com/estore/kr/ko/b/hermes</t>
        </is>
      </c>
      <c r="F24" s="4" t="inlineStr">
        <is>
          <t>hermes.com lists many Korean boutiques (Shinsegae Main/Gangnam, Hyundai Apgujeong, Dosan Maison) but pages did not state perfume is sold there; Shinsegae Main perfume boutique only in news. So 백화점/브랜드 매장 not recorded.</t>
        </is>
      </c>
    </row>
    <row r="25">
      <c r="A25" s="4" t="inlineStr">
        <is>
          <t>Hugo Boss</t>
        </is>
      </c>
      <c r="B25" s="4" t="inlineStr">
        <is>
          <t>낮음</t>
        </is>
      </c>
      <c r="C25" s="4" t="inlineStr">
        <is>
          <t>표시 안 함</t>
        </is>
      </c>
      <c r="D25" s="4" t="inlineStr">
        <is>
          <t>백화점</t>
        </is>
      </c>
      <c r="E25" s="4" t="inlineStr">
        <is>
          <t>https://www.ehyundai.com/newPortal/DP/FG/FG000000_V.do?branchCd=B00122000</t>
        </is>
      </c>
      <c r="F25" s="4" t="inlineStr">
        <is>
          <t>Likely the fashion store; fragrance counter not confirmed. Shinsegae brand page also exists (brandId=2000002977). No Olive Young evidence.</t>
        </is>
      </c>
    </row>
    <row r="26">
      <c r="A26" s="4" t="inlineStr">
        <is>
          <t>Initio</t>
        </is>
      </c>
      <c r="B26" s="4" t="inlineStr">
        <is>
          <t>미확인</t>
        </is>
      </c>
      <c r="C26" s="4" t="inlineStr">
        <is>
          <t>표시 안 함</t>
        </is>
      </c>
      <c r="D26" s="4" t="inlineStr">
        <is>
          <t>-</t>
        </is>
      </c>
      <c r="E26" s="4" t="inlineStr">
        <is>
          <t>-</t>
        </is>
      </c>
      <c r="F26" s="4" t="inlineStr">
        <is>
          <t>No allowed-source evidence found (only SSG.com marketplace listings and foreign retailers).</t>
        </is>
      </c>
    </row>
    <row r="27">
      <c r="A27" s="4" t="inlineStr">
        <is>
          <t>Jean Paul Gaultier</t>
        </is>
      </c>
      <c r="B27" s="4" t="inlineStr">
        <is>
          <t>낮음</t>
        </is>
      </c>
      <c r="C27" s="4" t="inlineStr">
        <is>
          <t>표시 안 함</t>
        </is>
      </c>
      <c r="D27" s="4" t="inlineStr">
        <is>
          <t>면세점</t>
        </is>
      </c>
      <c r="E27" s="4" t="inlineStr">
        <is>
          <t>https://www.shilladfs.com/comm/kr/ko/brandView?brand_cd=0232</t>
        </is>
      </c>
      <c r="F27" s="4" t="inlineStr">
        <is>
          <t>Olive Young and department store not verified (search only returned generic Olive Young perfume category).</t>
        </is>
      </c>
    </row>
    <row r="28">
      <c r="A28" s="4" t="inlineStr">
        <is>
          <t>Jo Malone London</t>
        </is>
      </c>
      <c r="B28" s="4" t="inlineStr">
        <is>
          <t>보통</t>
        </is>
      </c>
      <c r="C28" s="4" t="inlineStr">
        <is>
          <t>표시</t>
        </is>
      </c>
      <c r="D28" s="4" t="inlineStr">
        <is>
          <t>백화점, 브랜드 매장</t>
        </is>
      </c>
      <c r="E28" s="4" t="inlineStr">
        <is>
          <t>https://www.jomalone.co.kr/store/1449960/%EC%84%9C%EC%9A%B8%ED%8A%B9%EB%B3%84%EC%8B%9C/%EC%9A%A9%EC%82%B0%EA%B5%AC/4348
https://www.jomalone.co.kr/trust-mark</t>
        </is>
      </c>
      <c r="F28" s="4" t="inlineStr">
        <is>
          <t>Evidence from search-result summaries of official site, not fetched pages (403).</t>
        </is>
      </c>
    </row>
    <row r="29">
      <c r="A29" s="4" t="inlineStr">
        <is>
          <t>Juliette Has a Gun</t>
        </is>
      </c>
      <c r="B29" s="4" t="inlineStr">
        <is>
          <t>낮음</t>
        </is>
      </c>
      <c r="C29" s="4" t="inlineStr">
        <is>
          <t>표시 안 함</t>
        </is>
      </c>
      <c r="D29" s="4" t="inlineStr">
        <is>
          <t>편집숍</t>
        </is>
      </c>
      <c r="E29" s="4" t="inlineStr">
        <is>
          <t>https://chicor.com/brand/0000000886</t>
        </is>
      </c>
      <c r="F29" s="4" t="inlineStr">
        <is>
          <t>Chicor page is online brand listing; offline SIKOR stock not confirmed. Only a temporary 더현대 서울 팝업 (Aug 2026, ended 8/13) found, not counted. Olive Young not verified.</t>
        </is>
      </c>
    </row>
    <row r="30">
      <c r="A30" s="4" t="inlineStr">
        <is>
          <t>Kilian Paris</t>
        </is>
      </c>
      <c r="B30" s="4" t="inlineStr">
        <is>
          <t>낮음</t>
        </is>
      </c>
      <c r="C30" s="4" t="inlineStr">
        <is>
          <t>표시 안 함</t>
        </is>
      </c>
      <c r="D30" s="4" t="inlineStr">
        <is>
          <t>백화점</t>
        </is>
      </c>
      <c r="E30" s="4" t="inlineStr">
        <is>
          <t>https://m.lotteshopping.com/shoppingNews/shoppingNewsDetail?shpgNewsNo=SNM00000000000094668</t>
        </is>
      </c>
      <c r="F30" s="4" t="inlineStr">
        <is>
          <t>Lotte news item described a period opening (Aug 18-31); current permanence unverified. Other stores not verified.</t>
        </is>
      </c>
    </row>
    <row r="31">
      <c r="A31" s="4" t="inlineStr">
        <is>
          <t>Lancôme</t>
        </is>
      </c>
      <c r="B31" s="4" t="inlineStr">
        <is>
          <t>보통</t>
        </is>
      </c>
      <c r="C31" s="4" t="inlineStr">
        <is>
          <t>표시</t>
        </is>
      </c>
      <c r="D31" s="4" t="inlineStr">
        <is>
          <t>백화점, 면세점</t>
        </is>
      </c>
      <c r="E31" s="4" t="inlineStr">
        <is>
          <t>https://m.shilladfs.com/estore/kr/ko/p/5980374
https://www.ehyundai.com/newPortal/DP/FG/FG000000_V.do?branchCd=B00142000</t>
        </is>
      </c>
      <c r="F31" s="4" t="inlineStr">
        <is>
          <t>Hyundai evidence from search summary; Shilla DFS is online duty-free shop, counters implied.</t>
        </is>
      </c>
    </row>
    <row r="32">
      <c r="A32" s="4" t="inlineStr">
        <is>
          <t>Le Labo</t>
        </is>
      </c>
      <c r="B32" s="4" t="inlineStr">
        <is>
          <t>높음</t>
        </is>
      </c>
      <c r="C32" s="4" t="inlineStr">
        <is>
          <t>표시</t>
        </is>
      </c>
      <c r="D32" s="4" t="inlineStr">
        <is>
          <t>브랜드 매장</t>
        </is>
      </c>
      <c r="E32" s="4" t="inlineStr">
        <is>
          <t>https://www.lelabofragrances.co.kr/_seoul-boutiques.html</t>
        </is>
      </c>
      <c r="F32" s="4" t="inlineStr">
        <is>
          <t>Standalone boutiques only; department store counters not verified.</t>
        </is>
      </c>
    </row>
    <row r="33">
      <c r="A33" s="4" t="inlineStr">
        <is>
          <t>Maison Francis Kurkdjian</t>
        </is>
      </c>
      <c r="B33" s="4" t="inlineStr">
        <is>
          <t>보통</t>
        </is>
      </c>
      <c r="C33" s="4" t="inlineStr">
        <is>
          <t>표시</t>
        </is>
      </c>
      <c r="D33" s="4" t="inlineStr">
        <is>
          <t>백화점</t>
        </is>
      </c>
      <c r="E33" s="4" t="inlineStr">
        <is>
          <t>https://www.shinsegae.com/store/floor.do</t>
        </is>
      </c>
      <c r="F33" s="4" t="inlineStr">
        <is>
          <t>Also 롯데 잠실점 per hankyung article (not an allowed source). Evidence is search summary.</t>
        </is>
      </c>
    </row>
    <row r="34">
      <c r="A34" s="4" t="inlineStr">
        <is>
          <t>Maison Margiela</t>
        </is>
      </c>
      <c r="B34" s="4" t="inlineStr">
        <is>
          <t>보통</t>
        </is>
      </c>
      <c r="C34" s="4" t="inlineStr">
        <is>
          <t>표시</t>
        </is>
      </c>
      <c r="D34" s="4" t="inlineStr">
        <is>
          <t>백화점</t>
        </is>
      </c>
      <c r="E34" s="4" t="inlineStr">
        <is>
          <t>https://m.lotteshopping.com/search/searchResult?cstrCd=0349&amp;searchTerm=%28
https://www.ehyundai.com/newPortal/DP/FG/FG000000_V.do?branchCd=B00140000</t>
        </is>
      </c>
      <c r="F34" s="4" t="inlineStr">
        <is>
          <t>Evidence from search summaries of department store sites.</t>
        </is>
      </c>
    </row>
    <row r="35">
      <c r="A35" s="4" t="inlineStr">
        <is>
          <t>Marc Jacobs</t>
        </is>
      </c>
      <c r="B35" s="4" t="inlineStr">
        <is>
          <t>보통</t>
        </is>
      </c>
      <c r="C35" s="4" t="inlineStr">
        <is>
          <t>표시</t>
        </is>
      </c>
      <c r="D35" s="4" t="inlineStr">
        <is>
          <t>올리브영</t>
        </is>
      </c>
      <c r="E35" s="4" t="inlineStr">
        <is>
          <t>https://m.oliveyoung.co.kr/m/display/getBrandShopDetail.do?onlBrndCd=A000265</t>
        </is>
      </c>
      <c r="F35" s="4" t="inlineStr">
        <is>
          <t>Online listing; offline store stock not confirmed. Department store not verified.</t>
        </is>
      </c>
    </row>
    <row r="36">
      <c r="A36" s="4" t="inlineStr">
        <is>
          <t>Montblanc</t>
        </is>
      </c>
      <c r="B36" s="4" t="inlineStr">
        <is>
          <t>보통</t>
        </is>
      </c>
      <c r="C36" s="4" t="inlineStr">
        <is>
          <t>표시</t>
        </is>
      </c>
      <c r="D36" s="4" t="inlineStr">
        <is>
          <t>올리브영, 백화점</t>
        </is>
      </c>
      <c r="E36" s="4" t="inlineStr">
        <is>
          <t>https://www.ehyundai.com/newPortal/DP/FG/FG000000_V.do?branchCd=B00122000
https://www.oliveyoung.co.kr/store/display/getBrandShopDetail.do?onlBrndCd=A000646</t>
        </is>
      </c>
      <c r="F36" s="4" t="inlineStr">
        <is>
          <t>Department store entry is probably the main (non-fragrance) Montblanc boutique; fragrance counter unconfirmed.</t>
        </is>
      </c>
    </row>
    <row r="37">
      <c r="A37" s="4" t="inlineStr">
        <is>
          <t>Mugler</t>
        </is>
      </c>
      <c r="B37" s="4" t="inlineStr">
        <is>
          <t>미확인</t>
        </is>
      </c>
      <c r="C37" s="4" t="inlineStr">
        <is>
          <t>표시 안 함</t>
        </is>
      </c>
      <c r="D37" s="4" t="inlineStr">
        <is>
          <t>-</t>
        </is>
      </c>
      <c r="E37" s="4" t="inlineStr">
        <is>
          <t>-</t>
        </is>
      </c>
      <c r="F37" s="4" t="inlineStr">
        <is>
          <t>No verified channel found in allowed sources.</t>
        </is>
      </c>
    </row>
    <row r="38">
      <c r="A38" s="4" t="inlineStr">
        <is>
          <t>Narciso Rodriguez</t>
        </is>
      </c>
      <c r="B38" s="4" t="inlineStr">
        <is>
          <t>보통</t>
        </is>
      </c>
      <c r="C38" s="4" t="inlineStr">
        <is>
          <t>표시</t>
        </is>
      </c>
      <c r="D38" s="4" t="inlineStr">
        <is>
          <t>올리브영</t>
        </is>
      </c>
      <c r="E38" s="4" t="inlineStr">
        <is>
          <t>https://www.oliveyoung.co.kr/store/display/getBrandShopDetail.do?onlBrndCd=A000586</t>
        </is>
      </c>
      <c r="F38" s="4" t="inlineStr">
        <is>
          <t>Online listing.</t>
        </is>
      </c>
    </row>
    <row r="39">
      <c r="A39" s="4" t="inlineStr">
        <is>
          <t>Nishane</t>
        </is>
      </c>
      <c r="B39" s="4" t="inlineStr">
        <is>
          <t>미확인</t>
        </is>
      </c>
      <c r="C39" s="4" t="inlineStr">
        <is>
          <t>표시 안 함</t>
        </is>
      </c>
      <c r="D39" s="4" t="inlineStr">
        <is>
          <t>-</t>
        </is>
      </c>
      <c r="E39" s="4" t="inlineStr">
        <is>
          <t>-</t>
        </is>
      </c>
      <c r="F39" s="4" t="inlineStr">
        <is>
          <t>No Korean retail evidence found in allowed sources.</t>
        </is>
      </c>
    </row>
    <row r="40">
      <c r="A40" s="4" t="inlineStr">
        <is>
          <t>Paco Rabanne</t>
        </is>
      </c>
      <c r="B40" s="4" t="inlineStr">
        <is>
          <t>낮음</t>
        </is>
      </c>
      <c r="C40" s="4" t="inlineStr">
        <is>
          <t>표시 안 함</t>
        </is>
      </c>
      <c r="D40" s="4" t="inlineStr">
        <is>
          <t>올리브영</t>
        </is>
      </c>
      <c r="E40" s="4" t="inlineStr">
        <is>
          <t>https://www.oliveyoung.co.kr/store/search/getSearchMain.do?query=%ED%8C%8C%EC%BD%94%EB%9D%BC%EB%B0%98&amp;onlyOneBrand=A000085&amp;onlBrndCd=A000085</t>
        </is>
      </c>
      <c r="F40" s="4" t="inlineStr">
        <is>
          <t>Only a search-result title seen; page fetch blocked. Shinsegae mall also listed (online).</t>
        </is>
      </c>
    </row>
    <row r="41">
      <c r="A41" s="4" t="inlineStr">
        <is>
          <t>Parfums de Marly</t>
        </is>
      </c>
      <c r="B41" s="4" t="inlineStr">
        <is>
          <t>미확인</t>
        </is>
      </c>
      <c r="C41" s="4" t="inlineStr">
        <is>
          <t>표시 안 함</t>
        </is>
      </c>
      <c r="D41" s="4" t="inlineStr">
        <is>
          <t>-</t>
        </is>
      </c>
      <c r="E41" s="4" t="inlineStr">
        <is>
          <t>-</t>
        </is>
      </c>
      <c r="F41" s="4" t="inlineStr">
        <is>
          <t>Only SSG.com online listings of '퍼퓸드말리 공식수입정품' via 신세계백화점 mall; physical counter not verified (a floor-guide hit was unreliable).</t>
        </is>
      </c>
    </row>
    <row r="42">
      <c r="A42" s="4" t="inlineStr">
        <is>
          <t>Penhaligon's</t>
        </is>
      </c>
      <c r="B42" s="4" t="inlineStr">
        <is>
          <t>보통</t>
        </is>
      </c>
      <c r="C42" s="4" t="inlineStr">
        <is>
          <t>표시</t>
        </is>
      </c>
      <c r="D42" s="4" t="inlineStr">
        <is>
          <t>백화점</t>
        </is>
      </c>
      <c r="E42" s="4" t="inlineStr">
        <is>
          <t>https://m.thehyundai.com/front/dpa/searchSectItem.thd?sectId=219475</t>
        </is>
      </c>
      <c r="F42" s="4" t="inlineStr">
        <is>
          <t>Hyundai Seoul and Hyundai Trade Center per Hankyung article (news, not an allowed source, corroboration only).</t>
        </is>
      </c>
    </row>
    <row r="43">
      <c r="A43" s="4" t="inlineStr">
        <is>
          <t>Prada</t>
        </is>
      </c>
      <c r="B43" s="4" t="inlineStr">
        <is>
          <t>낮음</t>
        </is>
      </c>
      <c r="C43" s="4" t="inlineStr">
        <is>
          <t>표시 안 함</t>
        </is>
      </c>
      <c r="D43" s="4" t="inlineStr">
        <is>
          <t>백화점</t>
        </is>
      </c>
      <c r="E43" s="4" t="inlineStr">
        <is>
          <t>https://department.ssg.com/disp/brandShop.ssg?brandId=3000082132</t>
        </is>
      </c>
      <c r="F43" s="4" t="inlineStr">
        <is>
          <t>Weak: department-store brand page may be online mall only; news (not allowed source) says Prada Beauty counters at Shinsegae Gangnam and The Hyundai Seoul plus a Seongsu standalone store. No Olive Young evidence; standalone store not verified from an allowed source.</t>
        </is>
      </c>
    </row>
    <row r="44">
      <c r="A44" s="4" t="inlineStr">
        <is>
          <t>Tom Ford</t>
        </is>
      </c>
      <c r="B44" s="4" t="inlineStr">
        <is>
          <t>보통</t>
        </is>
      </c>
      <c r="C44" s="4" t="inlineStr">
        <is>
          <t>표시</t>
        </is>
      </c>
      <c r="D44" s="4" t="inlineStr">
        <is>
          <t>백화점</t>
        </is>
      </c>
      <c r="E44" s="4" t="inlineStr">
        <is>
          <t>https://www.galleria.co.kr/dispctg/initBrandShop.action?shop_brand_no=37914
https://www.thehyundai.com/front/dpa/searchSectItem.thd?brndCd=MA03329</t>
        </is>
      </c>
      <c r="F44" s="4" t="inlineStr">
        <is>
          <t>Beauty/fragrance line only; brand pages may be online listings; news says counters at Galleria Apgujeong, Hyundai, Shinsegae Gangnam.</t>
        </is>
      </c>
    </row>
    <row r="45">
      <c r="A45" s="4" t="inlineStr">
        <is>
          <t>Versace</t>
        </is>
      </c>
      <c r="B45" s="4" t="inlineStr">
        <is>
          <t>보통</t>
        </is>
      </c>
      <c r="C45" s="4" t="inlineStr">
        <is>
          <t>표시</t>
        </is>
      </c>
      <c r="D45" s="4" t="inlineStr">
        <is>
          <t>올리브영</t>
        </is>
      </c>
      <c r="E45" s="4" t="inlineStr">
        <is>
          <t>https://www.oliveyoung.co.kr/store/display/getBrandShopDetail.do?onlBrndCd=A000040</t>
        </is>
      </c>
      <c r="F45" s="4" t="inlineStr">
        <is>
          <t>Online brand page verified; in-store testing not confirmed. Department store not verified.</t>
        </is>
      </c>
    </row>
    <row r="46">
      <c r="A46" s="4" t="inlineStr">
        <is>
          <t>Viktor&amp;Rolf</t>
        </is>
      </c>
      <c r="B46" s="4" t="inlineStr">
        <is>
          <t>낮음</t>
        </is>
      </c>
      <c r="C46" s="4" t="inlineStr">
        <is>
          <t>표시 안 함</t>
        </is>
      </c>
      <c r="D46" s="4" t="inlineStr">
        <is>
          <t>백화점</t>
        </is>
      </c>
      <c r="E46" s="4" t="inlineStr">
        <is>
          <t>https://shinsegaemall.ssg.com/disp/brandShop.ssg?brandId=2000007203</t>
        </is>
      </c>
      <c r="F46" s="4" t="inlineStr">
        <is>
          <t>Weak: only online Shinsegae brand page found; offline counter not verified.</t>
        </is>
      </c>
    </row>
    <row r="47">
      <c r="A47" s="4" t="inlineStr">
        <is>
          <t>Xerjoff</t>
        </is>
      </c>
      <c r="B47" s="4" t="inlineStr">
        <is>
          <t>낮음</t>
        </is>
      </c>
      <c r="C47" s="4" t="inlineStr">
        <is>
          <t>표시 안 함</t>
        </is>
      </c>
      <c r="D47" s="4" t="inlineStr">
        <is>
          <t>백화점</t>
        </is>
      </c>
      <c r="E47" s="4" t="inlineStr">
        <is>
          <t>https://www.galleria.co.kr/dispctg/initBrandShop.action?shop_brand_no=2300008554
https://www.thehyundai.com/front/dpa/searchSectItem.thd?brndCd=MA14910&amp;pSectId=30064</t>
        </is>
      </c>
      <c r="F47" s="4" t="inlineStr">
        <is>
          <t>Weak: online brand listings; physical counters not confirmed.</t>
        </is>
      </c>
    </row>
    <row r="48">
      <c r="A48" s="4" t="inlineStr">
        <is>
          <t>Yves Saint Laurent</t>
        </is>
      </c>
      <c r="B48" s="4" t="inlineStr">
        <is>
          <t>보통</t>
        </is>
      </c>
      <c r="C48" s="4" t="inlineStr">
        <is>
          <t>표시</t>
        </is>
      </c>
      <c r="D48" s="4" t="inlineStr">
        <is>
          <t>백화점</t>
        </is>
      </c>
      <c r="E48" s="4" t="inlineStr">
        <is>
          <t>https://department.ssg.com/disp/brandShop.ssg?brandId=2011010625
https://m.lotteshopping.com/store/floor/detail?cstrCd=0016&amp;cstrTownCd=C00401&amp;flrCd=01</t>
        </is>
      </c>
      <c r="F48" s="4" t="inlineStr">
        <is>
          <t>Official site yslbeautykr.com lists customer care for store finding (080-835-0089) but fetch was 403; no Olive Young evidence.</t>
        </is>
      </c>
    </row>
    <row r="49">
      <c r="A49" s="4" t="inlineStr">
        <is>
          <t>Nonfiction</t>
        </is>
      </c>
      <c r="B49" s="4" t="inlineStr">
        <is>
          <t>미확인</t>
        </is>
      </c>
      <c r="C49" s="4" t="inlineStr">
        <is>
          <t>표시 안 함</t>
        </is>
      </c>
      <c r="D49" s="4" t="inlineStr">
        <is>
          <t>공식몰 · 올리브영 · 편집숍</t>
        </is>
      </c>
      <c r="E49" s="4" t="inlineStr">
        <is>
          <t>https://nonfiction.kr/</t>
        </is>
      </c>
      <c r="F49" s="4" t="n"/>
    </row>
    <row r="50">
      <c r="A50" s="4" t="inlineStr">
        <is>
          <t>Lush</t>
        </is>
      </c>
      <c r="B50" s="4" t="inlineStr">
        <is>
          <t>높음</t>
        </is>
      </c>
      <c r="C50" s="4" t="inlineStr">
        <is>
          <t>표시</t>
        </is>
      </c>
      <c r="D50" s="4" t="inlineStr">
        <is>
          <t>브랜드 매장 · 공식몰</t>
        </is>
      </c>
      <c r="E50" s="4" t="inlineStr">
        <is>
          <t>https://www.lush.co.kr/shop_list.html</t>
        </is>
      </c>
      <c r="F50" s="4" t="n"/>
    </row>
    <row r="51">
      <c r="A51" s="4" t="inlineStr">
        <is>
          <t>Issey Miyake</t>
        </is>
      </c>
      <c r="B51" s="4" t="inlineStr">
        <is>
          <t>보통</t>
        </is>
      </c>
      <c r="C51" s="4" t="inlineStr">
        <is>
          <t>표시</t>
        </is>
      </c>
      <c r="D51" s="4" t="inlineStr">
        <is>
          <t>백화점 · 올리브영</t>
        </is>
      </c>
      <c r="E51" s="4" t="inlineStr">
        <is>
          <t>https://www.ssg.com/disp/brandShop.ssg?brandId=2000003268</t>
        </is>
      </c>
      <c r="F51" s="4" t="n"/>
    </row>
    <row r="52">
      <c r="A52" s="4" t="inlineStr">
        <is>
          <t>Elizabeth Arden</t>
        </is>
      </c>
      <c r="B52" s="4" t="inlineStr">
        <is>
          <t>보통</t>
        </is>
      </c>
      <c r="C52" s="4" t="inlineStr">
        <is>
          <t>표시</t>
        </is>
      </c>
      <c r="D52" s="4" t="inlineStr">
        <is>
          <t>올리브영 · 공식몰</t>
        </is>
      </c>
      <c r="E52" s="4" t="inlineStr">
        <is>
          <t>https://www.elizabetharden.co.kr/</t>
        </is>
      </c>
      <c r="F52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2026-10-07T06:37:01Z</dcterms:created>
  <dcterms:modified xsi:type="dcterms:W3CDTF">2026-10-08T03:32:17Z</dcterms:modified>
</cp:coreProperties>
</file>